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ber\Desktop\2021 Western Toad Files\ADULTS\"/>
    </mc:Choice>
  </mc:AlternateContent>
  <bookViews>
    <workbookView xWindow="240" yWindow="120" windowWidth="20115" windowHeight="8265"/>
  </bookViews>
  <sheets>
    <sheet name="2016" sheetId="1" r:id="rId1"/>
    <sheet name="2017" sheetId="4" r:id="rId2"/>
    <sheet name="2018" sheetId="5" r:id="rId3"/>
    <sheet name="2019" sheetId="6" r:id="rId4"/>
    <sheet name="2020" sheetId="7" r:id="rId5"/>
    <sheet name="2021" sheetId="8" r:id="rId6"/>
  </sheets>
  <calcPr calcId="162913"/>
</workbook>
</file>

<file path=xl/calcChain.xml><?xml version="1.0" encoding="utf-8"?>
<calcChain xmlns="http://schemas.openxmlformats.org/spreadsheetml/2006/main">
  <c r="C12" i="1" l="1"/>
  <c r="G38" i="8" l="1"/>
  <c r="F38" i="8"/>
  <c r="C29" i="8" l="1"/>
  <c r="E29" i="8" l="1"/>
  <c r="D29" i="8"/>
  <c r="E38" i="8"/>
  <c r="D38" i="8"/>
  <c r="C38" i="8"/>
  <c r="C40" i="8" s="1"/>
  <c r="E34" i="8"/>
  <c r="D34" i="8"/>
  <c r="C34" i="8"/>
  <c r="E17" i="8"/>
  <c r="D17" i="8"/>
  <c r="C17" i="8"/>
  <c r="E6" i="8"/>
  <c r="D6" i="8"/>
  <c r="C6" i="8"/>
  <c r="E60" i="6" l="1"/>
  <c r="D60" i="6"/>
  <c r="C60" i="6"/>
  <c r="E55" i="7" l="1"/>
  <c r="D55" i="7"/>
  <c r="C55" i="7"/>
  <c r="E48" i="7"/>
  <c r="D48" i="7"/>
  <c r="C48" i="7"/>
  <c r="E41" i="7"/>
  <c r="D41" i="7"/>
  <c r="C41" i="7"/>
  <c r="E32" i="7"/>
  <c r="D32" i="7"/>
  <c r="C32" i="7"/>
  <c r="E20" i="7"/>
  <c r="D20" i="7"/>
  <c r="C20" i="7"/>
  <c r="E6" i="7"/>
  <c r="D6" i="7"/>
  <c r="C6" i="7"/>
  <c r="C57" i="7" l="1"/>
  <c r="E22" i="6"/>
  <c r="D22" i="6"/>
  <c r="C22" i="6"/>
  <c r="E55" i="6"/>
  <c r="D55" i="6"/>
  <c r="C55" i="6"/>
  <c r="E46" i="6"/>
  <c r="D46" i="6"/>
  <c r="C46" i="6"/>
  <c r="E39" i="6"/>
  <c r="D39" i="6"/>
  <c r="C39" i="6"/>
  <c r="E32" i="6"/>
  <c r="D32" i="6"/>
  <c r="C32" i="6"/>
  <c r="C62" i="6" s="1"/>
  <c r="E8" i="6"/>
  <c r="D8" i="6"/>
  <c r="C8" i="6"/>
  <c r="E64" i="5"/>
  <c r="D64" i="5"/>
  <c r="C64" i="5"/>
  <c r="C13" i="5"/>
  <c r="C25" i="5"/>
  <c r="C47" i="5"/>
  <c r="E36" i="5"/>
  <c r="D36" i="5"/>
  <c r="C36" i="5"/>
  <c r="D13" i="5"/>
  <c r="E13" i="5"/>
  <c r="E58" i="5"/>
  <c r="D58" i="5"/>
  <c r="C58" i="5"/>
  <c r="E47" i="5"/>
  <c r="D47" i="5"/>
  <c r="E25" i="5"/>
  <c r="D25" i="5"/>
  <c r="D69" i="4"/>
  <c r="E69" i="4"/>
  <c r="C69" i="4"/>
  <c r="D64" i="4"/>
  <c r="E64" i="4"/>
  <c r="C64" i="4"/>
  <c r="D53" i="4"/>
  <c r="E53" i="4"/>
  <c r="C53" i="4"/>
  <c r="D40" i="4"/>
  <c r="E40" i="4"/>
  <c r="C40" i="4"/>
  <c r="D29" i="4"/>
  <c r="E29" i="4"/>
  <c r="C29" i="4"/>
  <c r="C71" i="4" l="1"/>
  <c r="C66" i="5"/>
  <c r="C17" i="4"/>
  <c r="C42" i="1"/>
  <c r="C54" i="1" s="1"/>
  <c r="D31" i="1"/>
  <c r="E31" i="1"/>
  <c r="C31" i="1"/>
  <c r="D21" i="1"/>
  <c r="E21" i="1"/>
  <c r="C21" i="1"/>
</calcChain>
</file>

<file path=xl/sharedStrings.xml><?xml version="1.0" encoding="utf-8"?>
<sst xmlns="http://schemas.openxmlformats.org/spreadsheetml/2006/main" count="465" uniqueCount="251">
  <si>
    <t>VEHICLES</t>
  </si>
  <si>
    <t>E (TO KASLO)</t>
  </si>
  <si>
    <t>W (TO NEW DENVER)</t>
  </si>
  <si>
    <t>20:45-23:27</t>
  </si>
  <si>
    <t>22:00-22:45</t>
  </si>
  <si>
    <t>TIME PERIOD</t>
  </si>
  <si>
    <t>22:10-22:25</t>
  </si>
  <si>
    <t>22:20-22:30</t>
  </si>
  <si>
    <t>21:30-22:38</t>
  </si>
  <si>
    <t>22:00-22:20</t>
  </si>
  <si>
    <t>22:10-22:30</t>
  </si>
  <si>
    <t xml:space="preserve">2016 Adult WT Night Survey Vehicle Data </t>
  </si>
  <si>
    <t>?</t>
  </si>
  <si>
    <t>≥ 8</t>
  </si>
  <si>
    <t>DATE (JUNE)</t>
  </si>
  <si>
    <t>DATE (MAY)</t>
  </si>
  <si>
    <t>DATE (JULY)</t>
  </si>
  <si>
    <t>DATE (AUGUST)</t>
  </si>
  <si>
    <t>DATE (SEPTEMBER)</t>
  </si>
  <si>
    <t>DATE (OCTOBER)</t>
  </si>
  <si>
    <t>22:30-23:00</t>
  </si>
  <si>
    <t>≥ 9</t>
  </si>
  <si>
    <t>TOTAL (7 Surveys)</t>
  </si>
  <si>
    <t>TOTAL (9 Surveys)</t>
  </si>
  <si>
    <t>TOTAL (6 Surveys)</t>
  </si>
  <si>
    <t>TOTAL (2 Surveys)</t>
  </si>
  <si>
    <t xml:space="preserve">2017 Adult WT Night Survey Vehicle Data </t>
  </si>
  <si>
    <t>DATE (APRIL)</t>
  </si>
  <si>
    <t>21:02-22:18</t>
  </si>
  <si>
    <t>21:46-23:30</t>
  </si>
  <si>
    <t>22:08-23:25</t>
  </si>
  <si>
    <t>22:00-23:36</t>
  </si>
  <si>
    <t>21:16-23:45</t>
  </si>
  <si>
    <t>21:08-22:45</t>
  </si>
  <si>
    <t>21:20-23:33</t>
  </si>
  <si>
    <t>20:55-23:48</t>
  </si>
  <si>
    <t>21:14-23:44</t>
  </si>
  <si>
    <t>21:32-23:37</t>
  </si>
  <si>
    <t>21:37-23:48</t>
  </si>
  <si>
    <t>TOTAL (1 Survey)</t>
  </si>
  <si>
    <t>≥ 25</t>
  </si>
  <si>
    <t>≥ 15</t>
  </si>
  <si>
    <t>21:45-23:48</t>
  </si>
  <si>
    <t>21:55-23:40</t>
  </si>
  <si>
    <t>21:56-23:31</t>
  </si>
  <si>
    <t>21:50-23:35</t>
  </si>
  <si>
    <t>21:37-23:27</t>
  </si>
  <si>
    <t>22:01-23:29</t>
  </si>
  <si>
    <t>22:00-23:34</t>
  </si>
  <si>
    <t>21:50-23:24</t>
  </si>
  <si>
    <t>21:49-23:19</t>
  </si>
  <si>
    <t>22:00-24:03</t>
  </si>
  <si>
    <t>21:32-23:22</t>
  </si>
  <si>
    <t>21:36-23:14</t>
  </si>
  <si>
    <t>21:48-23:44</t>
  </si>
  <si>
    <t>21:38-23:06</t>
  </si>
  <si>
    <t>21:32-23:04</t>
  </si>
  <si>
    <t>21:35-23:05</t>
  </si>
  <si>
    <t>21:45-23:04</t>
  </si>
  <si>
    <t>TOTAL (10 Surveys)</t>
  </si>
  <si>
    <t>TOTAL (8 Surveys)</t>
  </si>
  <si>
    <t>21:00-22:10</t>
  </si>
  <si>
    <t>21:02-22:35</t>
  </si>
  <si>
    <t>21:32-22:39</t>
  </si>
  <si>
    <t>20:35-22:18</t>
  </si>
  <si>
    <t>20:43-22:13</t>
  </si>
  <si>
    <t>20:52-21:50</t>
  </si>
  <si>
    <t>20:51-22:05</t>
  </si>
  <si>
    <t>20:35-23:04</t>
  </si>
  <si>
    <t>20:30-22:00</t>
  </si>
  <si>
    <t>20:32-22:14</t>
  </si>
  <si>
    <t>20:25-21:58</t>
  </si>
  <si>
    <t>19:58-22:10</t>
  </si>
  <si>
    <t>19:57-21:36</t>
  </si>
  <si>
    <t>19:50-21:26</t>
  </si>
  <si>
    <t>19:23-20:43</t>
  </si>
  <si>
    <t>19:22-20:36</t>
  </si>
  <si>
    <t>19:14-20:15</t>
  </si>
  <si>
    <t>20:47-22:07</t>
  </si>
  <si>
    <t>19:12-19:55</t>
  </si>
  <si>
    <t>19:00-20:05</t>
  </si>
  <si>
    <t xml:space="preserve">2018 Adult WT Night Survey Vehicle Data </t>
  </si>
  <si>
    <t>≥ 10</t>
  </si>
  <si>
    <t>≥ 6</t>
  </si>
  <si>
    <t>21:00-22:20</t>
  </si>
  <si>
    <t>21:05-22:47</t>
  </si>
  <si>
    <t>21:17-23:46</t>
  </si>
  <si>
    <t>21:12-22:48</t>
  </si>
  <si>
    <t>21:24-23:32</t>
  </si>
  <si>
    <t>21:48-24:14</t>
  </si>
  <si>
    <t>22:04-24:04</t>
  </si>
  <si>
    <t>21:54-23:44</t>
  </si>
  <si>
    <t>21:21-24:04</t>
  </si>
  <si>
    <t>21:35-23:00</t>
  </si>
  <si>
    <t>21:34-23:16</t>
  </si>
  <si>
    <t>21:56-23:48</t>
  </si>
  <si>
    <t>21:51-24:25</t>
  </si>
  <si>
    <t>21:58-23:30</t>
  </si>
  <si>
    <t>22:28-24:23</t>
  </si>
  <si>
    <t>22:10-24:06</t>
  </si>
  <si>
    <t>22:19-23:30</t>
  </si>
  <si>
    <t>21:30-22:50</t>
  </si>
  <si>
    <t>21:54-23:41</t>
  </si>
  <si>
    <t>21:38-23:25</t>
  </si>
  <si>
    <t>21:24-23:00</t>
  </si>
  <si>
    <t>21:31-23:08</t>
  </si>
  <si>
    <t>21:28-23:02</t>
  </si>
  <si>
    <t>21:56-23:03</t>
  </si>
  <si>
    <t>22:15-23:21</t>
  </si>
  <si>
    <t>21:05-22:41</t>
  </si>
  <si>
    <t>21:05-23:23</t>
  </si>
  <si>
    <t>20:59-22:19</t>
  </si>
  <si>
    <t>21:08-22:24</t>
  </si>
  <si>
    <t>20:40-22:42</t>
  </si>
  <si>
    <t>21:01-22:00</t>
  </si>
  <si>
    <t>20:35-21:08</t>
  </si>
  <si>
    <t>20:26-21:48</t>
  </si>
  <si>
    <t>20:08-21:08</t>
  </si>
  <si>
    <t>19:52-21:13</t>
  </si>
  <si>
    <t>20:10-21:52</t>
  </si>
  <si>
    <t>19:35-21:04</t>
  </si>
  <si>
    <t>19:30-20:40</t>
  </si>
  <si>
    <t>19:15-20:41</t>
  </si>
  <si>
    <t>19:12-20:18</t>
  </si>
  <si>
    <t>18:53-19:57</t>
  </si>
  <si>
    <t>19:20-20:30</t>
  </si>
  <si>
    <t>19:04-20:13</t>
  </si>
  <si>
    <t>18:50-19:58</t>
  </si>
  <si>
    <t>TOTAL (3 Surveys)</t>
  </si>
  <si>
    <t xml:space="preserve">2019 Adult WT Night Survey Vehicle Data </t>
  </si>
  <si>
    <t>20:22-21:26</t>
  </si>
  <si>
    <t>20:21-21:58</t>
  </si>
  <si>
    <t>20:38-22:04</t>
  </si>
  <si>
    <t>TOTAL (4 Surveys)</t>
  </si>
  <si>
    <t>TOTAL (11 Surveys)</t>
  </si>
  <si>
    <t>20:37-22:57</t>
  </si>
  <si>
    <t>20:56-21:50</t>
  </si>
  <si>
    <t>20:50-22:56</t>
  </si>
  <si>
    <t>20:57-23:33</t>
  </si>
  <si>
    <t>20:52-23:07</t>
  </si>
  <si>
    <t>20:58-22:41</t>
  </si>
  <si>
    <t>20:45-22:40</t>
  </si>
  <si>
    <t>21:15-23:21</t>
  </si>
  <si>
    <t>21:07-22:18</t>
  </si>
  <si>
    <t>21:07-23:04</t>
  </si>
  <si>
    <t>21:25-23:21</t>
  </si>
  <si>
    <t>21:29-22:49</t>
  </si>
  <si>
    <t>21:25-22:35</t>
  </si>
  <si>
    <t>21:50-23:01</t>
  </si>
  <si>
    <t>21:33-22:31</t>
  </si>
  <si>
    <t>21:50-23:00</t>
  </si>
  <si>
    <t>21:32-22:51</t>
  </si>
  <si>
    <t>21:28-22:54</t>
  </si>
  <si>
    <t>21:18-23:46</t>
  </si>
  <si>
    <t>21:30-22:52</t>
  </si>
  <si>
    <t>21:23-22:40</t>
  </si>
  <si>
    <t>20:46-21:55</t>
  </si>
  <si>
    <t>21:08-22:17</t>
  </si>
  <si>
    <t>21:08-22:44</t>
  </si>
  <si>
    <t>20:28-22:00</t>
  </si>
  <si>
    <t>19:55-21:52</t>
  </si>
  <si>
    <t>19:33-21:07</t>
  </si>
  <si>
    <t>19:15-20:24</t>
  </si>
  <si>
    <t>19:15-20:16</t>
  </si>
  <si>
    <t>19:16-20:16</t>
  </si>
  <si>
    <t>20:45-22:56</t>
  </si>
  <si>
    <t>21:30-21:40</t>
  </si>
  <si>
    <t>21:45-23:00</t>
  </si>
  <si>
    <t>22:30-23:20</t>
  </si>
  <si>
    <t>20:15-23:00</t>
  </si>
  <si>
    <t>22:30-22:40</t>
  </si>
  <si>
    <t>22:02-22:18</t>
  </si>
  <si>
    <t>22:00-22:15</t>
  </si>
  <si>
    <t>22:22-22:47</t>
  </si>
  <si>
    <t>22:20-22:35</t>
  </si>
  <si>
    <t>23:45-24:00</t>
  </si>
  <si>
    <t>22:42-22:52</t>
  </si>
  <si>
    <t>22:20-22:54</t>
  </si>
  <si>
    <t>22:57-23:26</t>
  </si>
  <si>
    <t>22:15-23:05</t>
  </si>
  <si>
    <t>22:10-23:28</t>
  </si>
  <si>
    <t>21:32-22:40</t>
  </si>
  <si>
    <t>20:50-21:13</t>
  </si>
  <si>
    <t>21:45-21:55</t>
  </si>
  <si>
    <t>20:00-20:10</t>
  </si>
  <si>
    <t>22:00-22:10</t>
  </si>
  <si>
    <t xml:space="preserve">2020 Adult WT Night Survey Vehicle Data </t>
  </si>
  <si>
    <t>20:55-22:22</t>
  </si>
  <si>
    <t>21:06-22:43</t>
  </si>
  <si>
    <t>21:25-23:14</t>
  </si>
  <si>
    <t>21:09-23:35</t>
  </si>
  <si>
    <t>21:25-22:58</t>
  </si>
  <si>
    <t>21:15-22:36</t>
  </si>
  <si>
    <t>21:27-23:17</t>
  </si>
  <si>
    <t>21:30-23:43</t>
  </si>
  <si>
    <t>21:23-23:11</t>
  </si>
  <si>
    <t>21:22-22:49</t>
  </si>
  <si>
    <t>21:23-22:58</t>
  </si>
  <si>
    <t>21:35-22:46</t>
  </si>
  <si>
    <t>21:37-23:19</t>
  </si>
  <si>
    <t>21:43-23:33</t>
  </si>
  <si>
    <t>21:36-22:45</t>
  </si>
  <si>
    <t>20:10-21:04</t>
  </si>
  <si>
    <t>19:52-21:03</t>
  </si>
  <si>
    <t>21:28-23:05</t>
  </si>
  <si>
    <t>21:20-23:39</t>
  </si>
  <si>
    <t>21:15-22:51</t>
  </si>
  <si>
    <t>21:34-22:49</t>
  </si>
  <si>
    <t>21:20-22:56</t>
  </si>
  <si>
    <t>21:00-22:55</t>
  </si>
  <si>
    <t>21:28-23:11</t>
  </si>
  <si>
    <t>21:22-22:52</t>
  </si>
  <si>
    <t>21:30-23:23</t>
  </si>
  <si>
    <t>21:00-23:12</t>
  </si>
  <si>
    <t>21:25-23:23</t>
  </si>
  <si>
    <t>22:13-23:49</t>
  </si>
  <si>
    <t>22:45-24:30</t>
  </si>
  <si>
    <t>19:40-20:40</t>
  </si>
  <si>
    <t>19:40-20:37</t>
  </si>
  <si>
    <t>TOTAL</t>
  </si>
  <si>
    <t>2021 Adult WT Night Survey Vehicle Data - FISH AND BEAR LAKES STUDY AREA</t>
  </si>
  <si>
    <t>21:04-22:06</t>
  </si>
  <si>
    <t>20:48-21:58</t>
  </si>
  <si>
    <t>21:30-23:11</t>
  </si>
  <si>
    <t>21:39-22:39</t>
  </si>
  <si>
    <t>21:47-22:48</t>
  </si>
  <si>
    <t>21:40-22:54</t>
  </si>
  <si>
    <t>21:49-22:40</t>
  </si>
  <si>
    <t>21:00-22:37</t>
  </si>
  <si>
    <t>21:15-23:20</t>
  </si>
  <si>
    <t>21:00-23:00</t>
  </si>
  <si>
    <t>21:35-23:45</t>
  </si>
  <si>
    <t>21:50-23:20</t>
  </si>
  <si>
    <t>21:25-23:20</t>
  </si>
  <si>
    <t>21:15-22:00</t>
  </si>
  <si>
    <t>21:45-23:10</t>
  </si>
  <si>
    <t>21:30-24:00</t>
  </si>
  <si>
    <t>21:15-24:20</t>
  </si>
  <si>
    <t>21:30-22:15</t>
  </si>
  <si>
    <t>21:28-23:43</t>
  </si>
  <si>
    <t>21:50-23:38</t>
  </si>
  <si>
    <t>Ttl Vehicle</t>
  </si>
  <si>
    <t>hrs</t>
  </si>
  <si>
    <t>mins</t>
  </si>
  <si>
    <t>21:00-23:35</t>
  </si>
  <si>
    <t>34.4 hrs surveying</t>
  </si>
  <si>
    <t>TOTAL (1 Surveys)</t>
  </si>
  <si>
    <t>20:44-21:35</t>
  </si>
  <si>
    <t>TOTAL (5 Surveys)</t>
  </si>
  <si>
    <t>21:07-21:20</t>
  </si>
  <si>
    <t>21:15-21:25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</si>
</sst>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79">
    <xf numFmtId="0" fontId="0" fillId="0" borderId="0" xfId="0"/>
    <xf numFmtId="164" fontId="2" fillId="0" borderId="0" xfId="0" applyNumberFormat="1" applyFont="1" applyBorder="1" applyAlignment="1">
      <alignment horizontal="left" vertical="center"/>
    </xf>
    <xf numFmtId="20" fontId="2" fillId="0" borderId="0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164" fontId="3" fillId="0" borderId="0" xfId="0" applyNumberFormat="1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/>
    <xf numFmtId="0" fontId="1" fillId="0" borderId="1" xfId="0" applyFont="1" applyBorder="1"/>
    <xf numFmtId="0" fontId="1" fillId="2" borderId="0" xfId="0" applyFont="1" applyFill="1" applyAlignment="1">
      <alignment horizontal="left"/>
    </xf>
    <xf numFmtId="0" fontId="0" fillId="2" borderId="0" xfId="0" applyFill="1"/>
    <xf numFmtId="20" fontId="3" fillId="0" borderId="2" xfId="0" applyNumberFormat="1" applyFont="1" applyBorder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20" fontId="3" fillId="0" borderId="0" xfId="0" applyNumberFormat="1" applyFont="1" applyBorder="1" applyAlignment="1">
      <alignment horizontal="left" vertical="center"/>
    </xf>
    <xf numFmtId="0" fontId="4" fillId="0" borderId="2" xfId="0" applyFont="1" applyBorder="1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/>
    <xf numFmtId="0" fontId="0" fillId="0" borderId="0" xfId="0"/>
    <xf numFmtId="0" fontId="4" fillId="0" borderId="2" xfId="0" applyFont="1" applyBorder="1" applyAlignment="1">
      <alignment horizontal="left"/>
    </xf>
    <xf numFmtId="164" fontId="5" fillId="0" borderId="0" xfId="0" applyNumberFormat="1" applyFont="1" applyBorder="1" applyAlignment="1">
      <alignment horizontal="left" vertical="center"/>
    </xf>
    <xf numFmtId="0" fontId="0" fillId="0" borderId="0" xfId="0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7" fillId="0" borderId="0" xfId="1" applyFont="1" applyBorder="1" applyAlignment="1">
      <alignment horizontal="left"/>
    </xf>
    <xf numFmtId="164" fontId="2" fillId="0" borderId="0" xfId="0" applyNumberFormat="1" applyFont="1" applyFill="1" applyBorder="1" applyAlignment="1">
      <alignment horizontal="left" vertical="center"/>
    </xf>
    <xf numFmtId="20" fontId="2" fillId="0" borderId="0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 wrapText="1"/>
    </xf>
    <xf numFmtId="164" fontId="3" fillId="0" borderId="2" xfId="0" applyNumberFormat="1" applyFont="1" applyFill="1" applyBorder="1" applyAlignment="1">
      <alignment horizontal="left" vertical="center"/>
    </xf>
    <xf numFmtId="20" fontId="2" fillId="0" borderId="2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20" fontId="7" fillId="0" borderId="0" xfId="1" applyNumberFormat="1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20" fontId="3" fillId="0" borderId="2" xfId="0" applyNumberFormat="1" applyFont="1" applyFill="1" applyBorder="1" applyAlignment="1">
      <alignment horizontal="left" vertical="center"/>
    </xf>
    <xf numFmtId="20" fontId="3" fillId="0" borderId="0" xfId="0" applyNumberFormat="1" applyFont="1" applyFill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center"/>
    </xf>
    <xf numFmtId="164" fontId="7" fillId="0" borderId="3" xfId="1" applyNumberFormat="1" applyFont="1" applyFill="1" applyBorder="1" applyAlignment="1">
      <alignment horizontal="left" vertical="center"/>
    </xf>
    <xf numFmtId="164" fontId="2" fillId="0" borderId="3" xfId="1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164" fontId="7" fillId="0" borderId="4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0" xfId="0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4" fontId="2" fillId="0" borderId="0" xfId="0" applyNumberFormat="1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" fillId="0" borderId="0" xfId="0" applyFont="1"/>
    <xf numFmtId="0" fontId="1" fillId="3" borderId="0" xfId="0" applyFont="1" applyFill="1"/>
    <xf numFmtId="0" fontId="8" fillId="3" borderId="0" xfId="1" applyFont="1" applyFill="1" applyBorder="1" applyAlignment="1">
      <alignment horizontal="left"/>
    </xf>
    <xf numFmtId="0" fontId="8" fillId="3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0" fillId="0" borderId="0" xfId="0" applyFill="1"/>
    <xf numFmtId="49" fontId="7" fillId="0" borderId="0" xfId="0" applyNumberFormat="1" applyFont="1" applyFill="1" applyAlignment="1">
      <alignment horizontal="left" wrapText="1"/>
    </xf>
    <xf numFmtId="0" fontId="7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A26" workbookViewId="0">
      <selection activeCell="E39" sqref="E39"/>
    </sheetView>
  </sheetViews>
  <sheetFormatPr defaultRowHeight="15" x14ac:dyDescent="0.25"/>
  <cols>
    <col min="1" max="1" width="18.42578125" customWidth="1"/>
    <col min="2" max="2" width="14.42578125" customWidth="1"/>
    <col min="3" max="3" width="10.85546875" customWidth="1"/>
    <col min="4" max="4" width="13.140625" customWidth="1"/>
    <col min="5" max="6" width="19.85546875" customWidth="1"/>
    <col min="7" max="7" width="11.7109375" customWidth="1"/>
    <col min="8" max="8" width="11.28515625" customWidth="1"/>
  </cols>
  <sheetData>
    <row r="1" spans="1:5" x14ac:dyDescent="0.25">
      <c r="A1" s="12" t="s">
        <v>11</v>
      </c>
      <c r="B1" s="13"/>
      <c r="C1" s="13"/>
      <c r="D1" s="13"/>
      <c r="E1" s="13"/>
    </row>
    <row r="2" spans="1:5" x14ac:dyDescent="0.25">
      <c r="A2" s="11" t="s">
        <v>15</v>
      </c>
      <c r="B2" s="11" t="s">
        <v>5</v>
      </c>
      <c r="C2" s="11" t="s">
        <v>0</v>
      </c>
      <c r="D2" s="11" t="s">
        <v>1</v>
      </c>
      <c r="E2" s="11" t="s">
        <v>2</v>
      </c>
    </row>
    <row r="3" spans="1:5" x14ac:dyDescent="0.25">
      <c r="A3" s="1">
        <v>42495</v>
      </c>
      <c r="B3" s="2" t="s">
        <v>3</v>
      </c>
      <c r="C3" s="3">
        <v>0</v>
      </c>
      <c r="D3" s="3">
        <v>0</v>
      </c>
      <c r="E3" s="3">
        <v>0</v>
      </c>
    </row>
    <row r="4" spans="1:5" x14ac:dyDescent="0.25">
      <c r="A4" s="1">
        <v>42498</v>
      </c>
      <c r="B4" s="2" t="s">
        <v>166</v>
      </c>
      <c r="C4" s="4">
        <v>2</v>
      </c>
      <c r="D4" s="4">
        <v>1</v>
      </c>
      <c r="E4" s="4">
        <v>1</v>
      </c>
    </row>
    <row r="5" spans="1:5" ht="15" customHeight="1" x14ac:dyDescent="0.25">
      <c r="A5" s="1">
        <v>42502</v>
      </c>
      <c r="B5" s="2" t="s">
        <v>166</v>
      </c>
      <c r="C5" s="4">
        <v>2</v>
      </c>
      <c r="D5" s="4">
        <v>1</v>
      </c>
      <c r="E5" s="4">
        <v>1</v>
      </c>
    </row>
    <row r="6" spans="1:5" ht="15" customHeight="1" x14ac:dyDescent="0.25">
      <c r="A6" s="1">
        <v>42506</v>
      </c>
      <c r="B6" s="2" t="s">
        <v>167</v>
      </c>
      <c r="C6" s="4">
        <v>1</v>
      </c>
      <c r="D6" s="4">
        <v>1</v>
      </c>
      <c r="E6" s="4">
        <v>0</v>
      </c>
    </row>
    <row r="7" spans="1:5" x14ac:dyDescent="0.25">
      <c r="A7" s="1">
        <v>42508</v>
      </c>
      <c r="B7" s="2" t="s">
        <v>168</v>
      </c>
      <c r="C7" s="4">
        <v>4</v>
      </c>
      <c r="D7" s="4">
        <v>3</v>
      </c>
      <c r="E7" s="4">
        <v>1</v>
      </c>
    </row>
    <row r="8" spans="1:5" x14ac:dyDescent="0.25">
      <c r="A8" s="1">
        <v>42511</v>
      </c>
      <c r="B8" s="2" t="s">
        <v>169</v>
      </c>
      <c r="C8" s="4">
        <v>2</v>
      </c>
      <c r="D8" s="4">
        <v>0</v>
      </c>
      <c r="E8" s="4">
        <v>2</v>
      </c>
    </row>
    <row r="9" spans="1:5" x14ac:dyDescent="0.25">
      <c r="A9" s="1">
        <v>42515</v>
      </c>
      <c r="B9" s="2" t="s">
        <v>4</v>
      </c>
      <c r="C9" s="4">
        <v>5</v>
      </c>
      <c r="D9" s="4">
        <v>4</v>
      </c>
      <c r="E9" s="4">
        <v>1</v>
      </c>
    </row>
    <row r="10" spans="1:5" x14ac:dyDescent="0.25">
      <c r="A10" s="1">
        <v>42520</v>
      </c>
      <c r="B10" s="2" t="s">
        <v>170</v>
      </c>
      <c r="C10" s="4">
        <v>2</v>
      </c>
      <c r="D10" s="4" t="s">
        <v>12</v>
      </c>
      <c r="E10" s="4" t="s">
        <v>12</v>
      </c>
    </row>
    <row r="11" spans="1:5" s="5" customFormat="1" x14ac:dyDescent="0.25">
      <c r="A11" s="1">
        <v>42521</v>
      </c>
      <c r="B11" s="38" t="s">
        <v>249</v>
      </c>
      <c r="C11" s="4">
        <v>0</v>
      </c>
      <c r="D11" s="4">
        <v>0</v>
      </c>
      <c r="E11" s="4">
        <v>0</v>
      </c>
    </row>
    <row r="12" spans="1:5" s="5" customFormat="1" x14ac:dyDescent="0.25">
      <c r="A12" s="7" t="s">
        <v>23</v>
      </c>
      <c r="B12" s="8"/>
      <c r="C12" s="17">
        <f>SUM(C3:C11)</f>
        <v>18</v>
      </c>
      <c r="D12" s="19" t="s">
        <v>82</v>
      </c>
      <c r="E12" s="19" t="s">
        <v>83</v>
      </c>
    </row>
    <row r="13" spans="1:5" x14ac:dyDescent="0.25">
      <c r="A13" s="6"/>
      <c r="B13" s="2"/>
      <c r="C13" s="4"/>
      <c r="D13" s="4"/>
      <c r="E13" s="4"/>
    </row>
    <row r="14" spans="1:5" x14ac:dyDescent="0.25">
      <c r="A14" s="11" t="s">
        <v>14</v>
      </c>
      <c r="B14" s="11" t="s">
        <v>5</v>
      </c>
      <c r="C14" s="11" t="s">
        <v>0</v>
      </c>
      <c r="D14" s="11" t="s">
        <v>1</v>
      </c>
      <c r="E14" s="11" t="s">
        <v>2</v>
      </c>
    </row>
    <row r="15" spans="1:5" x14ac:dyDescent="0.25">
      <c r="A15" s="1">
        <v>42534</v>
      </c>
      <c r="B15" s="2" t="s">
        <v>171</v>
      </c>
      <c r="C15" s="4">
        <v>1</v>
      </c>
      <c r="D15" s="4">
        <v>1</v>
      </c>
      <c r="E15" s="4">
        <v>0</v>
      </c>
    </row>
    <row r="16" spans="1:5" x14ac:dyDescent="0.25">
      <c r="A16" s="1">
        <v>42537</v>
      </c>
      <c r="B16" s="2" t="s">
        <v>172</v>
      </c>
      <c r="C16" s="4">
        <v>1</v>
      </c>
      <c r="D16" s="4">
        <v>0</v>
      </c>
      <c r="E16" s="4">
        <v>1</v>
      </c>
    </row>
    <row r="17" spans="1:12" x14ac:dyDescent="0.25">
      <c r="A17" s="1">
        <v>42542</v>
      </c>
      <c r="B17" s="2" t="s">
        <v>173</v>
      </c>
      <c r="C17" s="4">
        <v>0</v>
      </c>
      <c r="D17" s="4">
        <v>0</v>
      </c>
      <c r="E17" s="4">
        <v>0</v>
      </c>
    </row>
    <row r="18" spans="1:12" x14ac:dyDescent="0.25">
      <c r="A18" s="1">
        <v>42546</v>
      </c>
      <c r="B18" s="2" t="s">
        <v>174</v>
      </c>
      <c r="C18" s="4">
        <v>1</v>
      </c>
      <c r="D18" s="4">
        <v>0</v>
      </c>
      <c r="E18" s="4">
        <v>1</v>
      </c>
    </row>
    <row r="19" spans="1:12" x14ac:dyDescent="0.25">
      <c r="A19" s="1">
        <v>42549</v>
      </c>
      <c r="B19" s="2" t="s">
        <v>175</v>
      </c>
      <c r="C19" s="4">
        <v>0</v>
      </c>
      <c r="D19" s="4">
        <v>0</v>
      </c>
      <c r="E19" s="4">
        <v>0</v>
      </c>
    </row>
    <row r="20" spans="1:12" s="5" customFormat="1" x14ac:dyDescent="0.25">
      <c r="A20" s="1">
        <v>42551</v>
      </c>
      <c r="B20" s="2" t="s">
        <v>6</v>
      </c>
      <c r="C20" s="4">
        <v>1</v>
      </c>
      <c r="D20" s="4">
        <v>1</v>
      </c>
      <c r="E20" s="4">
        <v>0</v>
      </c>
    </row>
    <row r="21" spans="1:12" s="5" customFormat="1" x14ac:dyDescent="0.25">
      <c r="A21" s="7" t="s">
        <v>24</v>
      </c>
      <c r="B21" s="14"/>
      <c r="C21" s="17">
        <f>SUM(C15:C20)</f>
        <v>4</v>
      </c>
      <c r="D21" s="17">
        <f t="shared" ref="D21:E21" si="0">SUM(D15:D20)</f>
        <v>2</v>
      </c>
      <c r="E21" s="17">
        <f t="shared" si="0"/>
        <v>2</v>
      </c>
    </row>
    <row r="22" spans="1:12" s="10" customFormat="1" x14ac:dyDescent="0.25">
      <c r="A22" s="1"/>
      <c r="B22" s="18"/>
      <c r="C22" s="16"/>
      <c r="D22" s="16"/>
      <c r="E22" s="16"/>
    </row>
    <row r="23" spans="1:12" x14ac:dyDescent="0.25">
      <c r="A23" s="11" t="s">
        <v>16</v>
      </c>
      <c r="B23" s="11" t="s">
        <v>5</v>
      </c>
      <c r="C23" s="11" t="s">
        <v>0</v>
      </c>
      <c r="D23" s="11" t="s">
        <v>1</v>
      </c>
      <c r="E23" s="11" t="s">
        <v>2</v>
      </c>
      <c r="G23" s="58"/>
      <c r="H23" s="59"/>
      <c r="I23" s="62"/>
      <c r="J23" s="62"/>
      <c r="K23" s="62"/>
      <c r="L23" s="62"/>
    </row>
    <row r="24" spans="1:12" x14ac:dyDescent="0.25">
      <c r="A24" s="1">
        <v>42555</v>
      </c>
      <c r="B24" s="2" t="s">
        <v>176</v>
      </c>
      <c r="C24" s="4">
        <v>2</v>
      </c>
      <c r="D24" s="4">
        <v>0</v>
      </c>
      <c r="E24" s="4">
        <v>2</v>
      </c>
      <c r="G24" s="58"/>
      <c r="H24" s="59"/>
      <c r="I24" s="62"/>
      <c r="J24" s="62"/>
      <c r="K24" s="62"/>
      <c r="L24" s="62"/>
    </row>
    <row r="25" spans="1:12" x14ac:dyDescent="0.25">
      <c r="A25" s="1">
        <v>42560</v>
      </c>
      <c r="B25" s="2" t="s">
        <v>177</v>
      </c>
      <c r="C25" s="4">
        <v>3</v>
      </c>
      <c r="D25" s="4">
        <v>2</v>
      </c>
      <c r="E25" s="4">
        <v>1</v>
      </c>
      <c r="G25" s="58"/>
      <c r="H25" s="59"/>
      <c r="I25" s="62"/>
      <c r="J25" s="62"/>
      <c r="K25" s="62"/>
      <c r="L25" s="62"/>
    </row>
    <row r="26" spans="1:12" x14ac:dyDescent="0.25">
      <c r="A26" s="1">
        <v>42568</v>
      </c>
      <c r="B26" s="2" t="s">
        <v>178</v>
      </c>
      <c r="C26" s="4">
        <v>5</v>
      </c>
      <c r="D26" s="4">
        <v>3</v>
      </c>
      <c r="E26" s="4">
        <v>2</v>
      </c>
      <c r="G26" s="61"/>
      <c r="H26" s="60"/>
      <c r="I26" s="60"/>
      <c r="J26" s="60"/>
      <c r="K26" s="60"/>
      <c r="L26" s="60"/>
    </row>
    <row r="27" spans="1:12" x14ac:dyDescent="0.25">
      <c r="A27" s="1">
        <v>42571</v>
      </c>
      <c r="B27" s="2" t="s">
        <v>179</v>
      </c>
      <c r="C27" s="4">
        <v>5</v>
      </c>
      <c r="D27" s="4">
        <v>2</v>
      </c>
      <c r="E27" s="4">
        <v>3</v>
      </c>
    </row>
    <row r="28" spans="1:12" x14ac:dyDescent="0.25">
      <c r="A28" s="1">
        <v>42577</v>
      </c>
      <c r="B28" s="2" t="s">
        <v>180</v>
      </c>
      <c r="C28" s="4">
        <v>2</v>
      </c>
      <c r="D28" s="4">
        <v>2</v>
      </c>
      <c r="E28" s="4">
        <v>0</v>
      </c>
    </row>
    <row r="29" spans="1:12" x14ac:dyDescent="0.25">
      <c r="A29" s="1">
        <v>42581</v>
      </c>
      <c r="B29" s="2" t="s">
        <v>7</v>
      </c>
      <c r="C29" s="4">
        <v>0</v>
      </c>
      <c r="D29" s="4">
        <v>0</v>
      </c>
      <c r="E29" s="4">
        <v>0</v>
      </c>
    </row>
    <row r="30" spans="1:12" s="5" customFormat="1" x14ac:dyDescent="0.25">
      <c r="A30" s="1">
        <v>42582</v>
      </c>
      <c r="B30" s="2" t="s">
        <v>8</v>
      </c>
      <c r="C30" s="4">
        <v>23</v>
      </c>
      <c r="D30" s="4">
        <v>6</v>
      </c>
      <c r="E30" s="4">
        <v>17</v>
      </c>
    </row>
    <row r="31" spans="1:12" s="5" customFormat="1" x14ac:dyDescent="0.25">
      <c r="A31" s="7" t="s">
        <v>22</v>
      </c>
      <c r="B31" s="14"/>
      <c r="C31" s="17">
        <f>SUM(C24:C30)</f>
        <v>40</v>
      </c>
      <c r="D31" s="17">
        <f t="shared" ref="D31:E31" si="1">SUM(D24:D30)</f>
        <v>15</v>
      </c>
      <c r="E31" s="17">
        <f t="shared" si="1"/>
        <v>25</v>
      </c>
    </row>
    <row r="32" spans="1:12" s="10" customFormat="1" x14ac:dyDescent="0.25">
      <c r="A32" s="1"/>
      <c r="B32" s="2"/>
      <c r="C32" s="5"/>
      <c r="D32" s="5"/>
      <c r="E32" s="5"/>
    </row>
    <row r="33" spans="1:6" x14ac:dyDescent="0.25">
      <c r="A33" s="11" t="s">
        <v>17</v>
      </c>
      <c r="B33" s="11" t="s">
        <v>5</v>
      </c>
      <c r="C33" s="11" t="s">
        <v>0</v>
      </c>
      <c r="D33" s="11" t="s">
        <v>1</v>
      </c>
      <c r="E33" s="11" t="s">
        <v>2</v>
      </c>
    </row>
    <row r="34" spans="1:6" x14ac:dyDescent="0.25">
      <c r="A34" s="1">
        <v>42598</v>
      </c>
      <c r="B34" s="2" t="s">
        <v>181</v>
      </c>
      <c r="C34" s="4">
        <v>3</v>
      </c>
      <c r="D34" s="4" t="s">
        <v>12</v>
      </c>
      <c r="E34" s="4" t="s">
        <v>12</v>
      </c>
    </row>
    <row r="35" spans="1:6" x14ac:dyDescent="0.25">
      <c r="A35" s="1">
        <v>42588</v>
      </c>
      <c r="B35" s="2" t="s">
        <v>9</v>
      </c>
      <c r="C35" s="4">
        <v>6</v>
      </c>
      <c r="D35" s="4">
        <v>4</v>
      </c>
      <c r="E35" s="4">
        <v>2</v>
      </c>
    </row>
    <row r="36" spans="1:6" x14ac:dyDescent="0.25">
      <c r="A36" s="1">
        <v>42592</v>
      </c>
      <c r="B36" s="2" t="s">
        <v>9</v>
      </c>
      <c r="C36" s="4">
        <v>3</v>
      </c>
      <c r="D36" s="4">
        <v>0</v>
      </c>
      <c r="E36" s="4">
        <v>3</v>
      </c>
    </row>
    <row r="37" spans="1:6" s="15" customFormat="1" x14ac:dyDescent="0.25">
      <c r="A37" s="1">
        <v>42596</v>
      </c>
      <c r="B37" s="2" t="s">
        <v>9</v>
      </c>
      <c r="C37" s="4">
        <v>1</v>
      </c>
      <c r="D37" s="4">
        <v>0</v>
      </c>
      <c r="E37" s="4">
        <v>1</v>
      </c>
    </row>
    <row r="38" spans="1:6" x14ac:dyDescent="0.25">
      <c r="A38" s="1">
        <v>42604</v>
      </c>
      <c r="B38" s="2" t="s">
        <v>250</v>
      </c>
      <c r="C38" s="4">
        <v>0</v>
      </c>
      <c r="D38" s="4">
        <v>0</v>
      </c>
      <c r="E38" s="4">
        <v>0</v>
      </c>
      <c r="F38" s="33"/>
    </row>
    <row r="39" spans="1:6" x14ac:dyDescent="0.25">
      <c r="A39" s="1">
        <v>42605</v>
      </c>
      <c r="B39" s="2" t="s">
        <v>182</v>
      </c>
      <c r="C39" s="4">
        <v>4</v>
      </c>
      <c r="D39" s="4">
        <v>1</v>
      </c>
      <c r="E39" s="4">
        <v>3</v>
      </c>
    </row>
    <row r="40" spans="1:6" s="5" customFormat="1" x14ac:dyDescent="0.25">
      <c r="A40" s="1">
        <v>42607</v>
      </c>
      <c r="B40" s="2" t="s">
        <v>10</v>
      </c>
      <c r="C40" s="4">
        <v>2</v>
      </c>
      <c r="D40" s="4">
        <v>2</v>
      </c>
      <c r="E40" s="4">
        <v>0</v>
      </c>
      <c r="F40"/>
    </row>
    <row r="41" spans="1:6" s="5" customFormat="1" x14ac:dyDescent="0.25">
      <c r="A41" s="1">
        <v>42611</v>
      </c>
      <c r="B41" s="2" t="s">
        <v>6</v>
      </c>
      <c r="C41" s="4">
        <v>1</v>
      </c>
      <c r="D41" s="4">
        <v>1</v>
      </c>
      <c r="E41" s="4">
        <v>0</v>
      </c>
    </row>
    <row r="42" spans="1:6" s="10" customFormat="1" x14ac:dyDescent="0.25">
      <c r="A42" s="7" t="s">
        <v>22</v>
      </c>
      <c r="B42" s="8"/>
      <c r="C42" s="17">
        <f>SUM(C34:C41)</f>
        <v>20</v>
      </c>
      <c r="D42" s="19" t="s">
        <v>13</v>
      </c>
      <c r="E42" s="19" t="s">
        <v>21</v>
      </c>
      <c r="F42" s="5"/>
    </row>
    <row r="43" spans="1:6" x14ac:dyDescent="0.25">
      <c r="A43" s="1"/>
      <c r="B43" s="2"/>
      <c r="C43" s="5"/>
      <c r="D43" s="5"/>
      <c r="E43" s="5"/>
      <c r="F43" s="10"/>
    </row>
    <row r="44" spans="1:6" x14ac:dyDescent="0.25">
      <c r="A44" s="11" t="s">
        <v>18</v>
      </c>
      <c r="B44" s="11" t="s">
        <v>5</v>
      </c>
      <c r="C44" s="11" t="s">
        <v>0</v>
      </c>
      <c r="D44" s="11" t="s">
        <v>1</v>
      </c>
      <c r="E44" s="11" t="s">
        <v>2</v>
      </c>
    </row>
    <row r="45" spans="1:6" s="5" customFormat="1" x14ac:dyDescent="0.25">
      <c r="A45" s="1">
        <v>42621</v>
      </c>
      <c r="B45" s="2" t="s">
        <v>183</v>
      </c>
      <c r="C45" s="4">
        <v>0</v>
      </c>
      <c r="D45" s="4">
        <v>0</v>
      </c>
      <c r="E45" s="4">
        <v>0</v>
      </c>
      <c r="F45"/>
    </row>
    <row r="46" spans="1:6" s="5" customFormat="1" x14ac:dyDescent="0.25">
      <c r="A46" s="1">
        <v>42628</v>
      </c>
      <c r="B46" s="2" t="s">
        <v>20</v>
      </c>
      <c r="C46" s="4">
        <v>2</v>
      </c>
      <c r="D46" s="4">
        <v>1</v>
      </c>
      <c r="E46" s="4">
        <v>1</v>
      </c>
    </row>
    <row r="47" spans="1:6" s="10" customFormat="1" x14ac:dyDescent="0.25">
      <c r="A47" s="7" t="s">
        <v>25</v>
      </c>
      <c r="B47" s="8"/>
      <c r="C47" s="17">
        <v>2</v>
      </c>
      <c r="D47" s="17">
        <v>1</v>
      </c>
      <c r="E47" s="17">
        <v>1</v>
      </c>
      <c r="F47" s="5"/>
    </row>
    <row r="48" spans="1:6" x14ac:dyDescent="0.25">
      <c r="A48" s="1"/>
      <c r="B48" s="2"/>
      <c r="C48" s="5"/>
      <c r="D48" s="5"/>
      <c r="E48" s="5"/>
      <c r="F48" s="10"/>
    </row>
    <row r="49" spans="1:5" x14ac:dyDescent="0.25">
      <c r="A49" s="11" t="s">
        <v>19</v>
      </c>
      <c r="B49" s="11" t="s">
        <v>5</v>
      </c>
      <c r="C49" s="11" t="s">
        <v>0</v>
      </c>
      <c r="D49" s="11" t="s">
        <v>1</v>
      </c>
      <c r="E49" s="11" t="s">
        <v>2</v>
      </c>
    </row>
    <row r="50" spans="1:5" x14ac:dyDescent="0.25">
      <c r="A50" s="1">
        <v>42652</v>
      </c>
      <c r="B50" s="2" t="s">
        <v>184</v>
      </c>
      <c r="C50" s="4">
        <v>1</v>
      </c>
      <c r="D50" s="4">
        <v>0</v>
      </c>
      <c r="E50" s="4">
        <v>1</v>
      </c>
    </row>
    <row r="51" spans="1:5" x14ac:dyDescent="0.25">
      <c r="A51" s="1">
        <v>42655</v>
      </c>
      <c r="B51" s="2" t="s">
        <v>185</v>
      </c>
      <c r="C51" s="4">
        <v>0</v>
      </c>
      <c r="D51" s="4">
        <v>0</v>
      </c>
      <c r="E51" s="4">
        <v>0</v>
      </c>
    </row>
    <row r="52" spans="1:5" x14ac:dyDescent="0.25">
      <c r="A52" s="7" t="s">
        <v>25</v>
      </c>
      <c r="B52" s="9"/>
      <c r="C52" s="17">
        <v>1</v>
      </c>
      <c r="D52" s="17">
        <v>0</v>
      </c>
      <c r="E52" s="17">
        <v>1</v>
      </c>
    </row>
    <row r="53" spans="1:5" x14ac:dyDescent="0.25">
      <c r="A53" s="4"/>
      <c r="B53" s="4"/>
    </row>
    <row r="54" spans="1:5" x14ac:dyDescent="0.25">
      <c r="B54" s="65" t="s">
        <v>219</v>
      </c>
      <c r="C54" s="65">
        <f>SUM(C52,C47,C42,C31,C21,C12)</f>
        <v>85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opLeftCell="A7" workbookViewId="0">
      <selection activeCell="E14" sqref="E14"/>
    </sheetView>
  </sheetViews>
  <sheetFormatPr defaultRowHeight="15" x14ac:dyDescent="0.25"/>
  <cols>
    <col min="1" max="1" width="18.42578125" style="20" customWidth="1"/>
    <col min="2" max="2" width="14.42578125" style="20" customWidth="1"/>
    <col min="3" max="3" width="10.85546875" style="20" customWidth="1"/>
    <col min="4" max="4" width="13.140625" style="20" customWidth="1"/>
    <col min="5" max="5" width="19.85546875" style="20" customWidth="1"/>
    <col min="6" max="6" width="9.140625" style="20"/>
    <col min="7" max="7" width="9.140625" style="20" customWidth="1"/>
    <col min="8" max="16384" width="9.140625" style="20"/>
  </cols>
  <sheetData>
    <row r="1" spans="1:5" x14ac:dyDescent="0.25">
      <c r="A1" s="12" t="s">
        <v>26</v>
      </c>
      <c r="B1" s="13"/>
      <c r="C1" s="13"/>
      <c r="D1" s="13"/>
      <c r="E1" s="13"/>
    </row>
    <row r="2" spans="1:5" x14ac:dyDescent="0.25">
      <c r="A2" s="11" t="s">
        <v>27</v>
      </c>
      <c r="B2" s="11" t="s">
        <v>5</v>
      </c>
      <c r="C2" s="11" t="s">
        <v>0</v>
      </c>
      <c r="D2" s="11" t="s">
        <v>1</v>
      </c>
      <c r="E2" s="11" t="s">
        <v>2</v>
      </c>
    </row>
    <row r="3" spans="1:5" x14ac:dyDescent="0.25">
      <c r="A3" s="1">
        <v>42852</v>
      </c>
      <c r="B3" s="2" t="s">
        <v>28</v>
      </c>
      <c r="C3" s="4">
        <v>2</v>
      </c>
      <c r="D3" s="4">
        <v>2</v>
      </c>
      <c r="E3" s="4">
        <v>0</v>
      </c>
    </row>
    <row r="4" spans="1:5" s="23" customFormat="1" x14ac:dyDescent="0.25">
      <c r="A4" s="7" t="s">
        <v>39</v>
      </c>
      <c r="B4" s="8"/>
      <c r="C4" s="17">
        <v>2</v>
      </c>
      <c r="D4" s="24">
        <v>2</v>
      </c>
      <c r="E4" s="24">
        <v>0</v>
      </c>
    </row>
    <row r="5" spans="1:5" x14ac:dyDescent="0.25">
      <c r="A5" s="1"/>
      <c r="B5" s="2"/>
      <c r="C5" s="4"/>
      <c r="D5" s="4"/>
      <c r="E5" s="4"/>
    </row>
    <row r="6" spans="1:5" x14ac:dyDescent="0.25">
      <c r="A6" s="11" t="s">
        <v>15</v>
      </c>
      <c r="B6" s="11" t="s">
        <v>5</v>
      </c>
      <c r="C6" s="11" t="s">
        <v>0</v>
      </c>
      <c r="D6" s="11" t="s">
        <v>1</v>
      </c>
      <c r="E6" s="11" t="s">
        <v>2</v>
      </c>
    </row>
    <row r="7" spans="1:5" x14ac:dyDescent="0.25">
      <c r="A7" s="1">
        <v>42856</v>
      </c>
      <c r="B7" s="2" t="s">
        <v>29</v>
      </c>
      <c r="C7" s="3">
        <v>1</v>
      </c>
      <c r="D7" s="3">
        <v>1</v>
      </c>
      <c r="E7" s="3">
        <v>0</v>
      </c>
    </row>
    <row r="8" spans="1:5" x14ac:dyDescent="0.25">
      <c r="A8" s="25">
        <v>42858</v>
      </c>
      <c r="B8" s="2" t="s">
        <v>30</v>
      </c>
      <c r="C8" s="4">
        <v>2</v>
      </c>
      <c r="D8" s="4">
        <v>1</v>
      </c>
      <c r="E8" s="4">
        <v>1</v>
      </c>
    </row>
    <row r="9" spans="1:5" x14ac:dyDescent="0.25">
      <c r="A9" s="1">
        <v>42861</v>
      </c>
      <c r="B9" s="2" t="s">
        <v>31</v>
      </c>
      <c r="C9" s="4">
        <v>1</v>
      </c>
      <c r="D9" s="4">
        <v>0</v>
      </c>
      <c r="E9" s="4">
        <v>1</v>
      </c>
    </row>
    <row r="10" spans="1:5" x14ac:dyDescent="0.25">
      <c r="A10" s="1">
        <v>42865</v>
      </c>
      <c r="B10" s="2" t="s">
        <v>32</v>
      </c>
      <c r="C10" s="4">
        <v>2</v>
      </c>
      <c r="D10" s="4">
        <v>2</v>
      </c>
      <c r="E10" s="4">
        <v>0</v>
      </c>
    </row>
    <row r="11" spans="1:5" s="22" customFormat="1" x14ac:dyDescent="0.25">
      <c r="A11" s="25">
        <v>42869</v>
      </c>
      <c r="B11" s="2" t="s">
        <v>33</v>
      </c>
      <c r="C11" s="4">
        <v>4</v>
      </c>
      <c r="D11" s="4">
        <v>2</v>
      </c>
      <c r="E11" s="4">
        <v>2</v>
      </c>
    </row>
    <row r="12" spans="1:5" s="22" customFormat="1" x14ac:dyDescent="0.25">
      <c r="A12" s="1">
        <v>42873</v>
      </c>
      <c r="B12" s="2" t="s">
        <v>34</v>
      </c>
      <c r="C12" s="4">
        <v>6</v>
      </c>
      <c r="D12" s="4" t="s">
        <v>12</v>
      </c>
      <c r="E12" s="4" t="s">
        <v>12</v>
      </c>
    </row>
    <row r="13" spans="1:5" s="22" customFormat="1" x14ac:dyDescent="0.25">
      <c r="A13" s="25">
        <v>42875</v>
      </c>
      <c r="B13" s="2" t="s">
        <v>35</v>
      </c>
      <c r="C13" s="4">
        <v>22</v>
      </c>
      <c r="D13" s="4">
        <v>15</v>
      </c>
      <c r="E13" s="4">
        <v>7</v>
      </c>
    </row>
    <row r="14" spans="1:5" x14ac:dyDescent="0.25">
      <c r="A14" s="1">
        <v>42879</v>
      </c>
      <c r="B14" s="2" t="s">
        <v>36</v>
      </c>
      <c r="C14" s="4">
        <v>3</v>
      </c>
      <c r="D14" s="4">
        <v>1</v>
      </c>
      <c r="E14" s="4">
        <v>2</v>
      </c>
    </row>
    <row r="15" spans="1:5" x14ac:dyDescent="0.25">
      <c r="A15" s="1">
        <v>42884</v>
      </c>
      <c r="B15" s="2" t="s">
        <v>37</v>
      </c>
      <c r="C15" s="4">
        <v>1</v>
      </c>
      <c r="D15" s="4">
        <v>1</v>
      </c>
      <c r="E15" s="4">
        <v>0</v>
      </c>
    </row>
    <row r="16" spans="1:5" x14ac:dyDescent="0.25">
      <c r="A16" s="1">
        <v>42886</v>
      </c>
      <c r="B16" s="2" t="s">
        <v>38</v>
      </c>
      <c r="C16" s="4">
        <v>4</v>
      </c>
      <c r="D16" s="4">
        <v>2</v>
      </c>
      <c r="E16" s="4">
        <v>2</v>
      </c>
    </row>
    <row r="17" spans="1:5" x14ac:dyDescent="0.25">
      <c r="A17" s="7" t="s">
        <v>59</v>
      </c>
      <c r="B17" s="8"/>
      <c r="C17" s="17">
        <f>SUM(C7:C16)</f>
        <v>46</v>
      </c>
      <c r="D17" s="19" t="s">
        <v>40</v>
      </c>
      <c r="E17" s="19" t="s">
        <v>41</v>
      </c>
    </row>
    <row r="18" spans="1:5" x14ac:dyDescent="0.25">
      <c r="A18" s="6"/>
      <c r="B18" s="2"/>
      <c r="C18" s="4"/>
      <c r="D18" s="4"/>
      <c r="E18" s="4"/>
    </row>
    <row r="19" spans="1:5" x14ac:dyDescent="0.25">
      <c r="A19" s="11" t="s">
        <v>14</v>
      </c>
      <c r="B19" s="11" t="s">
        <v>5</v>
      </c>
      <c r="C19" s="11" t="s">
        <v>0</v>
      </c>
      <c r="D19" s="11" t="s">
        <v>1</v>
      </c>
      <c r="E19" s="11" t="s">
        <v>2</v>
      </c>
    </row>
    <row r="20" spans="1:5" s="23" customFormat="1" x14ac:dyDescent="0.25">
      <c r="A20" s="1">
        <v>42889</v>
      </c>
      <c r="B20" s="27" t="s">
        <v>42</v>
      </c>
      <c r="C20" s="29">
        <v>10</v>
      </c>
      <c r="D20" s="29">
        <v>2</v>
      </c>
      <c r="E20" s="29">
        <v>8</v>
      </c>
    </row>
    <row r="21" spans="1:5" s="23" customFormat="1" x14ac:dyDescent="0.25">
      <c r="A21" s="1">
        <v>42892</v>
      </c>
      <c r="B21" s="27" t="s">
        <v>43</v>
      </c>
      <c r="C21" s="29">
        <v>1</v>
      </c>
      <c r="D21" s="29">
        <v>1</v>
      </c>
      <c r="E21" s="29">
        <v>0</v>
      </c>
    </row>
    <row r="22" spans="1:5" s="23" customFormat="1" x14ac:dyDescent="0.25">
      <c r="A22" s="1">
        <v>42895</v>
      </c>
      <c r="B22" s="27" t="s">
        <v>44</v>
      </c>
      <c r="C22" s="29">
        <v>6</v>
      </c>
      <c r="D22" s="29">
        <v>6</v>
      </c>
      <c r="E22" s="29">
        <v>0</v>
      </c>
    </row>
    <row r="23" spans="1:5" s="23" customFormat="1" x14ac:dyDescent="0.25">
      <c r="A23" s="1">
        <v>42899</v>
      </c>
      <c r="B23" s="27" t="s">
        <v>45</v>
      </c>
      <c r="C23" s="29">
        <v>1</v>
      </c>
      <c r="D23" s="29">
        <v>0</v>
      </c>
      <c r="E23" s="29">
        <v>1</v>
      </c>
    </row>
    <row r="24" spans="1:5" s="23" customFormat="1" x14ac:dyDescent="0.25">
      <c r="A24" s="1">
        <v>42902</v>
      </c>
      <c r="B24" s="27" t="s">
        <v>46</v>
      </c>
      <c r="C24" s="29">
        <v>4</v>
      </c>
      <c r="D24" s="29">
        <v>3</v>
      </c>
      <c r="E24" s="29">
        <v>1</v>
      </c>
    </row>
    <row r="25" spans="1:5" x14ac:dyDescent="0.25">
      <c r="A25" s="1">
        <v>42907</v>
      </c>
      <c r="B25" s="27" t="s">
        <v>47</v>
      </c>
      <c r="C25" s="3">
        <v>3</v>
      </c>
      <c r="D25" s="3">
        <v>3</v>
      </c>
      <c r="E25" s="3">
        <v>0</v>
      </c>
    </row>
    <row r="26" spans="1:5" x14ac:dyDescent="0.25">
      <c r="A26" s="1">
        <v>42909</v>
      </c>
      <c r="B26" s="27" t="s">
        <v>48</v>
      </c>
      <c r="C26" s="3">
        <v>3</v>
      </c>
      <c r="D26" s="3">
        <v>1</v>
      </c>
      <c r="E26" s="3">
        <v>2</v>
      </c>
    </row>
    <row r="27" spans="1:5" x14ac:dyDescent="0.25">
      <c r="A27" s="1">
        <v>42914</v>
      </c>
      <c r="B27" s="27" t="s">
        <v>49</v>
      </c>
      <c r="C27" s="3">
        <v>3</v>
      </c>
      <c r="D27" s="3">
        <v>2</v>
      </c>
      <c r="E27" s="3">
        <v>1</v>
      </c>
    </row>
    <row r="28" spans="1:5" x14ac:dyDescent="0.25">
      <c r="A28" s="1">
        <v>42916</v>
      </c>
      <c r="B28" s="27" t="s">
        <v>50</v>
      </c>
      <c r="C28" s="3">
        <v>4</v>
      </c>
      <c r="D28" s="3">
        <v>3</v>
      </c>
      <c r="E28" s="3">
        <v>1</v>
      </c>
    </row>
    <row r="29" spans="1:5" x14ac:dyDescent="0.25">
      <c r="A29" s="7" t="s">
        <v>23</v>
      </c>
      <c r="B29" s="14"/>
      <c r="C29" s="17">
        <f>SUM(C20:C28)</f>
        <v>35</v>
      </c>
      <c r="D29" s="17">
        <f t="shared" ref="D29:E29" si="0">SUM(D20:D28)</f>
        <v>21</v>
      </c>
      <c r="E29" s="17">
        <f t="shared" si="0"/>
        <v>14</v>
      </c>
    </row>
    <row r="30" spans="1:5" x14ac:dyDescent="0.25">
      <c r="A30" s="1"/>
      <c r="B30" s="18"/>
      <c r="C30" s="21"/>
      <c r="D30" s="21"/>
      <c r="E30" s="21"/>
    </row>
    <row r="31" spans="1:5" x14ac:dyDescent="0.25">
      <c r="A31" s="11" t="s">
        <v>16</v>
      </c>
      <c r="B31" s="11" t="s">
        <v>5</v>
      </c>
      <c r="C31" s="11" t="s">
        <v>0</v>
      </c>
      <c r="D31" s="11" t="s">
        <v>1</v>
      </c>
      <c r="E31" s="11" t="s">
        <v>2</v>
      </c>
    </row>
    <row r="32" spans="1:5" x14ac:dyDescent="0.25">
      <c r="A32" s="1">
        <v>42920</v>
      </c>
      <c r="B32" s="31" t="s">
        <v>51</v>
      </c>
      <c r="C32" s="4">
        <v>5</v>
      </c>
      <c r="D32" s="4">
        <v>2</v>
      </c>
      <c r="E32" s="4">
        <v>3</v>
      </c>
    </row>
    <row r="33" spans="1:5" s="26" customFormat="1" x14ac:dyDescent="0.25">
      <c r="A33" s="1">
        <v>42924</v>
      </c>
      <c r="B33" s="31" t="s">
        <v>52</v>
      </c>
      <c r="C33" s="4">
        <v>4</v>
      </c>
      <c r="D33" s="4">
        <v>3</v>
      </c>
      <c r="E33" s="4">
        <v>1</v>
      </c>
    </row>
    <row r="34" spans="1:5" s="26" customFormat="1" x14ac:dyDescent="0.25">
      <c r="A34" s="1">
        <v>42927</v>
      </c>
      <c r="B34" s="31" t="s">
        <v>53</v>
      </c>
      <c r="C34" s="4">
        <v>6</v>
      </c>
      <c r="D34" s="4">
        <v>2</v>
      </c>
      <c r="E34" s="4">
        <v>4</v>
      </c>
    </row>
    <row r="35" spans="1:5" s="26" customFormat="1" x14ac:dyDescent="0.25">
      <c r="A35" s="1">
        <v>42931</v>
      </c>
      <c r="B35" s="31" t="s">
        <v>54</v>
      </c>
      <c r="C35" s="4">
        <v>12</v>
      </c>
      <c r="D35" s="4">
        <v>9</v>
      </c>
      <c r="E35" s="4">
        <v>3</v>
      </c>
    </row>
    <row r="36" spans="1:5" x14ac:dyDescent="0.25">
      <c r="A36" s="1">
        <v>42934</v>
      </c>
      <c r="B36" s="31" t="s">
        <v>55</v>
      </c>
      <c r="C36" s="4">
        <v>4</v>
      </c>
      <c r="D36" s="4">
        <v>3</v>
      </c>
      <c r="E36" s="4">
        <v>1</v>
      </c>
    </row>
    <row r="37" spans="1:5" x14ac:dyDescent="0.25">
      <c r="A37" s="1">
        <v>42938</v>
      </c>
      <c r="B37" s="31" t="s">
        <v>56</v>
      </c>
      <c r="C37" s="4">
        <v>5</v>
      </c>
      <c r="D37" s="4">
        <v>3</v>
      </c>
      <c r="E37" s="4">
        <v>2</v>
      </c>
    </row>
    <row r="38" spans="1:5" x14ac:dyDescent="0.25">
      <c r="A38" s="1">
        <v>42942</v>
      </c>
      <c r="B38" s="31" t="s">
        <v>57</v>
      </c>
      <c r="C38" s="4">
        <v>6</v>
      </c>
      <c r="D38" s="4">
        <v>1</v>
      </c>
      <c r="E38" s="4">
        <v>5</v>
      </c>
    </row>
    <row r="39" spans="1:5" x14ac:dyDescent="0.25">
      <c r="A39" s="1">
        <v>42944</v>
      </c>
      <c r="B39" s="31" t="s">
        <v>58</v>
      </c>
      <c r="C39" s="4">
        <v>5</v>
      </c>
      <c r="D39" s="4">
        <v>4</v>
      </c>
      <c r="E39" s="4">
        <v>1</v>
      </c>
    </row>
    <row r="40" spans="1:5" x14ac:dyDescent="0.25">
      <c r="A40" s="7" t="s">
        <v>60</v>
      </c>
      <c r="B40" s="14"/>
      <c r="C40" s="17">
        <f>SUM(C32:C39)</f>
        <v>47</v>
      </c>
      <c r="D40" s="17">
        <f t="shared" ref="D40:E40" si="1">SUM(D32:D39)</f>
        <v>27</v>
      </c>
      <c r="E40" s="17">
        <f t="shared" si="1"/>
        <v>20</v>
      </c>
    </row>
    <row r="41" spans="1:5" x14ac:dyDescent="0.25">
      <c r="A41" s="1"/>
      <c r="B41" s="2"/>
    </row>
    <row r="42" spans="1:5" x14ac:dyDescent="0.25">
      <c r="A42" s="11" t="s">
        <v>17</v>
      </c>
      <c r="B42" s="11" t="s">
        <v>5</v>
      </c>
      <c r="C42" s="11" t="s">
        <v>0</v>
      </c>
      <c r="D42" s="11" t="s">
        <v>1</v>
      </c>
      <c r="E42" s="11" t="s">
        <v>2</v>
      </c>
    </row>
    <row r="43" spans="1:5" x14ac:dyDescent="0.25">
      <c r="A43" s="1">
        <v>42948</v>
      </c>
      <c r="B43" s="31" t="s">
        <v>61</v>
      </c>
      <c r="C43" s="4">
        <v>8</v>
      </c>
      <c r="D43" s="4">
        <v>5</v>
      </c>
      <c r="E43" s="4">
        <v>3</v>
      </c>
    </row>
    <row r="44" spans="1:5" s="30" customFormat="1" x14ac:dyDescent="0.25">
      <c r="A44" s="1">
        <v>42951</v>
      </c>
      <c r="B44" s="31" t="s">
        <v>62</v>
      </c>
      <c r="C44" s="4">
        <v>19</v>
      </c>
      <c r="D44" s="4">
        <v>9</v>
      </c>
      <c r="E44" s="4">
        <v>10</v>
      </c>
    </row>
    <row r="45" spans="1:5" s="30" customFormat="1" x14ac:dyDescent="0.25">
      <c r="A45" s="1">
        <v>42954</v>
      </c>
      <c r="B45" s="31" t="s">
        <v>63</v>
      </c>
      <c r="C45" s="4">
        <v>11</v>
      </c>
      <c r="D45" s="4">
        <v>4</v>
      </c>
      <c r="E45" s="4">
        <v>7</v>
      </c>
    </row>
    <row r="46" spans="1:5" s="30" customFormat="1" x14ac:dyDescent="0.25">
      <c r="A46" s="1">
        <v>42956</v>
      </c>
      <c r="B46" s="31" t="s">
        <v>64</v>
      </c>
      <c r="C46" s="4">
        <v>11</v>
      </c>
      <c r="D46" s="4">
        <v>7</v>
      </c>
      <c r="E46" s="4">
        <v>4</v>
      </c>
    </row>
    <row r="47" spans="1:5" s="30" customFormat="1" x14ac:dyDescent="0.25">
      <c r="A47" s="1">
        <v>42959</v>
      </c>
      <c r="B47" s="31" t="s">
        <v>65</v>
      </c>
      <c r="C47" s="4">
        <v>3</v>
      </c>
      <c r="D47" s="4">
        <v>0</v>
      </c>
      <c r="E47" s="4">
        <v>3</v>
      </c>
    </row>
    <row r="48" spans="1:5" x14ac:dyDescent="0.25">
      <c r="A48" s="1">
        <v>42963</v>
      </c>
      <c r="B48" s="31" t="s">
        <v>66</v>
      </c>
      <c r="C48" s="4">
        <v>9</v>
      </c>
      <c r="D48" s="4">
        <v>5</v>
      </c>
      <c r="E48" s="4">
        <v>4</v>
      </c>
    </row>
    <row r="49" spans="1:5" x14ac:dyDescent="0.25">
      <c r="A49" s="1">
        <v>42967</v>
      </c>
      <c r="B49" s="31" t="s">
        <v>67</v>
      </c>
      <c r="C49" s="4">
        <v>10</v>
      </c>
      <c r="D49" s="4">
        <v>8</v>
      </c>
      <c r="E49" s="4">
        <v>2</v>
      </c>
    </row>
    <row r="50" spans="1:5" x14ac:dyDescent="0.25">
      <c r="A50" s="1">
        <v>42970</v>
      </c>
      <c r="B50" s="31" t="s">
        <v>68</v>
      </c>
      <c r="C50" s="4">
        <v>7</v>
      </c>
      <c r="D50" s="4">
        <v>4</v>
      </c>
      <c r="E50" s="4">
        <v>3</v>
      </c>
    </row>
    <row r="51" spans="1:5" x14ac:dyDescent="0.25">
      <c r="A51" s="1">
        <v>42974</v>
      </c>
      <c r="B51" s="31" t="s">
        <v>69</v>
      </c>
      <c r="C51" s="4">
        <v>15</v>
      </c>
      <c r="D51" s="4">
        <v>11</v>
      </c>
      <c r="E51" s="4">
        <v>4</v>
      </c>
    </row>
    <row r="52" spans="1:5" x14ac:dyDescent="0.25">
      <c r="A52" s="1">
        <v>42976</v>
      </c>
      <c r="B52" s="31" t="s">
        <v>70</v>
      </c>
      <c r="C52" s="4">
        <v>4</v>
      </c>
      <c r="D52" s="4">
        <v>2</v>
      </c>
      <c r="E52" s="4">
        <v>2</v>
      </c>
    </row>
    <row r="53" spans="1:5" x14ac:dyDescent="0.25">
      <c r="A53" s="7" t="s">
        <v>59</v>
      </c>
      <c r="B53" s="8"/>
      <c r="C53" s="17">
        <f>SUM(C43:C52)</f>
        <v>97</v>
      </c>
      <c r="D53" s="17">
        <f t="shared" ref="D53:E53" si="2">SUM(D43:D52)</f>
        <v>55</v>
      </c>
      <c r="E53" s="17">
        <f t="shared" si="2"/>
        <v>42</v>
      </c>
    </row>
    <row r="54" spans="1:5" x14ac:dyDescent="0.25">
      <c r="A54" s="1"/>
      <c r="B54" s="2"/>
    </row>
    <row r="55" spans="1:5" x14ac:dyDescent="0.25">
      <c r="A55" s="11" t="s">
        <v>18</v>
      </c>
      <c r="B55" s="11" t="s">
        <v>5</v>
      </c>
      <c r="C55" s="11" t="s">
        <v>0</v>
      </c>
      <c r="D55" s="11" t="s">
        <v>1</v>
      </c>
      <c r="E55" s="11" t="s">
        <v>2</v>
      </c>
    </row>
    <row r="56" spans="1:5" s="32" customFormat="1" x14ac:dyDescent="0.25">
      <c r="A56" s="1">
        <v>42979</v>
      </c>
      <c r="B56" s="27" t="s">
        <v>71</v>
      </c>
      <c r="C56" s="29">
        <v>11</v>
      </c>
      <c r="D56" s="29">
        <v>8</v>
      </c>
      <c r="E56" s="29">
        <v>3</v>
      </c>
    </row>
    <row r="57" spans="1:5" s="32" customFormat="1" x14ac:dyDescent="0.25">
      <c r="A57" s="1">
        <v>42984</v>
      </c>
      <c r="B57" s="27" t="s">
        <v>72</v>
      </c>
      <c r="C57" s="29">
        <v>7</v>
      </c>
      <c r="D57" s="29">
        <v>4</v>
      </c>
      <c r="E57" s="29">
        <v>3</v>
      </c>
    </row>
    <row r="58" spans="1:5" s="32" customFormat="1" x14ac:dyDescent="0.25">
      <c r="A58" s="1">
        <v>42986</v>
      </c>
      <c r="B58" s="27" t="s">
        <v>73</v>
      </c>
      <c r="C58" s="29">
        <v>19</v>
      </c>
      <c r="D58" s="29">
        <v>10</v>
      </c>
      <c r="E58" s="29">
        <v>9</v>
      </c>
    </row>
    <row r="59" spans="1:5" s="32" customFormat="1" x14ac:dyDescent="0.25">
      <c r="A59" s="1">
        <v>42991</v>
      </c>
      <c r="B59" s="27" t="s">
        <v>74</v>
      </c>
      <c r="C59" s="29">
        <v>10</v>
      </c>
      <c r="D59" s="29">
        <v>5</v>
      </c>
      <c r="E59" s="29">
        <v>5</v>
      </c>
    </row>
    <row r="60" spans="1:5" s="32" customFormat="1" x14ac:dyDescent="0.25">
      <c r="A60" s="1">
        <v>42993</v>
      </c>
      <c r="B60" s="27" t="s">
        <v>75</v>
      </c>
      <c r="C60" s="29">
        <v>10</v>
      </c>
      <c r="D60" s="29">
        <v>6</v>
      </c>
      <c r="E60" s="29">
        <v>4</v>
      </c>
    </row>
    <row r="61" spans="1:5" s="32" customFormat="1" x14ac:dyDescent="0.25">
      <c r="A61" s="1">
        <v>42997</v>
      </c>
      <c r="B61" s="27" t="s">
        <v>76</v>
      </c>
      <c r="C61" s="29">
        <v>6</v>
      </c>
      <c r="D61" s="29">
        <v>2</v>
      </c>
      <c r="E61" s="29">
        <v>4</v>
      </c>
    </row>
    <row r="62" spans="1:5" x14ac:dyDescent="0.25">
      <c r="A62" s="1">
        <v>43000</v>
      </c>
      <c r="B62" s="27" t="s">
        <v>77</v>
      </c>
      <c r="C62" s="3">
        <v>2</v>
      </c>
      <c r="D62" s="3">
        <v>1</v>
      </c>
      <c r="E62" s="3">
        <v>1</v>
      </c>
    </row>
    <row r="63" spans="1:5" x14ac:dyDescent="0.25">
      <c r="A63" s="1">
        <v>43005</v>
      </c>
      <c r="B63" s="27" t="s">
        <v>78</v>
      </c>
      <c r="C63" s="3">
        <v>4</v>
      </c>
      <c r="D63" s="3">
        <v>3</v>
      </c>
      <c r="E63" s="3">
        <v>1</v>
      </c>
    </row>
    <row r="64" spans="1:5" x14ac:dyDescent="0.25">
      <c r="A64" s="7" t="s">
        <v>60</v>
      </c>
      <c r="B64" s="8"/>
      <c r="C64" s="17">
        <f>SUM(C56:C63)</f>
        <v>69</v>
      </c>
      <c r="D64" s="17">
        <f t="shared" ref="D64:E64" si="3">SUM(D56:D63)</f>
        <v>39</v>
      </c>
      <c r="E64" s="17">
        <f t="shared" si="3"/>
        <v>30</v>
      </c>
    </row>
    <row r="65" spans="1:5" x14ac:dyDescent="0.25">
      <c r="A65" s="1"/>
      <c r="B65" s="2"/>
    </row>
    <row r="66" spans="1:5" x14ac:dyDescent="0.25">
      <c r="A66" s="11" t="s">
        <v>19</v>
      </c>
      <c r="B66" s="11" t="s">
        <v>5</v>
      </c>
      <c r="C66" s="11" t="s">
        <v>0</v>
      </c>
      <c r="D66" s="11" t="s">
        <v>1</v>
      </c>
      <c r="E66" s="11" t="s">
        <v>2</v>
      </c>
    </row>
    <row r="67" spans="1:5" x14ac:dyDescent="0.25">
      <c r="A67" s="1">
        <v>43013</v>
      </c>
      <c r="B67" s="27" t="s">
        <v>79</v>
      </c>
      <c r="C67" s="4">
        <v>4</v>
      </c>
      <c r="D67" s="4">
        <v>3</v>
      </c>
      <c r="E67" s="4">
        <v>1</v>
      </c>
    </row>
    <row r="68" spans="1:5" x14ac:dyDescent="0.25">
      <c r="A68" s="1">
        <v>43019</v>
      </c>
      <c r="B68" s="27" t="s">
        <v>80</v>
      </c>
      <c r="C68" s="4">
        <v>6</v>
      </c>
      <c r="D68" s="4">
        <v>3</v>
      </c>
      <c r="E68" s="4">
        <v>3</v>
      </c>
    </row>
    <row r="69" spans="1:5" x14ac:dyDescent="0.25">
      <c r="A69" s="7" t="s">
        <v>25</v>
      </c>
      <c r="B69" s="9"/>
      <c r="C69" s="17">
        <f>SUM(C67:C68)</f>
        <v>10</v>
      </c>
      <c r="D69" s="17">
        <f t="shared" ref="D69:E69" si="4">SUM(D67:D68)</f>
        <v>6</v>
      </c>
      <c r="E69" s="17">
        <f t="shared" si="4"/>
        <v>4</v>
      </c>
    </row>
    <row r="70" spans="1:5" x14ac:dyDescent="0.25">
      <c r="A70" s="4"/>
      <c r="B70" s="4"/>
    </row>
    <row r="71" spans="1:5" x14ac:dyDescent="0.25">
      <c r="B71" s="65" t="s">
        <v>219</v>
      </c>
      <c r="C71" s="65">
        <f>SUM(C69,C64,C53,C40,C29,C17,C4)</f>
        <v>306</v>
      </c>
    </row>
    <row r="72" spans="1:5" x14ac:dyDescent="0.25">
      <c r="C72" s="64"/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61" workbookViewId="0">
      <selection activeCell="D97" sqref="D97"/>
    </sheetView>
  </sheetViews>
  <sheetFormatPr defaultRowHeight="15" x14ac:dyDescent="0.25"/>
  <cols>
    <col min="1" max="1" width="18.42578125" style="33" customWidth="1"/>
    <col min="2" max="2" width="14.42578125" style="33" customWidth="1"/>
    <col min="3" max="3" width="10.85546875" style="33" customWidth="1"/>
    <col min="4" max="4" width="13.140625" style="33" customWidth="1"/>
    <col min="5" max="5" width="19.85546875" style="33" customWidth="1"/>
    <col min="6" max="16384" width="9.140625" style="33"/>
  </cols>
  <sheetData>
    <row r="1" spans="1:6" x14ac:dyDescent="0.25">
      <c r="A1" s="12" t="s">
        <v>81</v>
      </c>
      <c r="B1" s="13"/>
      <c r="C1" s="13"/>
      <c r="D1" s="13"/>
      <c r="E1" s="13"/>
    </row>
    <row r="2" spans="1:6" x14ac:dyDescent="0.25">
      <c r="A2" s="37"/>
      <c r="B2" s="38"/>
      <c r="C2" s="4"/>
      <c r="D2" s="4"/>
      <c r="E2" s="4"/>
    </row>
    <row r="3" spans="1:6" x14ac:dyDescent="0.25">
      <c r="A3" s="39" t="s">
        <v>15</v>
      </c>
      <c r="B3" s="39" t="s">
        <v>5</v>
      </c>
      <c r="C3" s="35" t="s">
        <v>0</v>
      </c>
      <c r="D3" s="35" t="s">
        <v>1</v>
      </c>
      <c r="E3" s="35" t="s">
        <v>2</v>
      </c>
      <c r="F3" s="4"/>
    </row>
    <row r="4" spans="1:6" x14ac:dyDescent="0.25">
      <c r="A4" s="49">
        <v>43230</v>
      </c>
      <c r="B4" s="40" t="s">
        <v>84</v>
      </c>
      <c r="C4" s="3">
        <v>1</v>
      </c>
      <c r="D4" s="3">
        <v>0</v>
      </c>
      <c r="E4" s="3">
        <v>1</v>
      </c>
      <c r="F4" s="4"/>
    </row>
    <row r="5" spans="1:6" x14ac:dyDescent="0.25">
      <c r="A5" s="49">
        <v>43233</v>
      </c>
      <c r="B5" s="40" t="s">
        <v>85</v>
      </c>
      <c r="C5" s="4">
        <v>3</v>
      </c>
      <c r="D5" s="4">
        <v>1</v>
      </c>
      <c r="E5" s="4">
        <v>2</v>
      </c>
      <c r="F5" s="4"/>
    </row>
    <row r="6" spans="1:6" x14ac:dyDescent="0.25">
      <c r="A6" s="49">
        <v>43235</v>
      </c>
      <c r="B6" s="40" t="s">
        <v>86</v>
      </c>
      <c r="C6" s="4">
        <v>5</v>
      </c>
      <c r="D6" s="4">
        <v>1</v>
      </c>
      <c r="E6" s="4">
        <v>4</v>
      </c>
      <c r="F6" s="4"/>
    </row>
    <row r="7" spans="1:6" x14ac:dyDescent="0.25">
      <c r="A7" s="49">
        <v>43237</v>
      </c>
      <c r="B7" s="40" t="s">
        <v>87</v>
      </c>
      <c r="C7" s="4">
        <v>5</v>
      </c>
      <c r="D7" s="4">
        <v>4</v>
      </c>
      <c r="E7" s="4">
        <v>1</v>
      </c>
      <c r="F7" s="4"/>
    </row>
    <row r="8" spans="1:6" x14ac:dyDescent="0.25">
      <c r="A8" s="49">
        <v>43239</v>
      </c>
      <c r="B8" s="40" t="s">
        <v>88</v>
      </c>
      <c r="C8" s="4">
        <v>10</v>
      </c>
      <c r="D8" s="4">
        <v>4</v>
      </c>
      <c r="E8" s="4">
        <v>6</v>
      </c>
      <c r="F8" s="4"/>
    </row>
    <row r="9" spans="1:6" x14ac:dyDescent="0.25">
      <c r="A9" s="49">
        <v>43242</v>
      </c>
      <c r="B9" s="40" t="s">
        <v>89</v>
      </c>
      <c r="C9" s="4">
        <v>4</v>
      </c>
      <c r="D9" s="4">
        <v>3</v>
      </c>
      <c r="E9" s="4">
        <v>1</v>
      </c>
      <c r="F9" s="4"/>
    </row>
    <row r="10" spans="1:6" x14ac:dyDescent="0.25">
      <c r="A10" s="49">
        <v>43245</v>
      </c>
      <c r="B10" s="40" t="s">
        <v>90</v>
      </c>
      <c r="C10" s="4">
        <v>3</v>
      </c>
      <c r="D10" s="4">
        <v>2</v>
      </c>
      <c r="E10" s="4">
        <v>1</v>
      </c>
      <c r="F10" s="4"/>
    </row>
    <row r="11" spans="1:6" x14ac:dyDescent="0.25">
      <c r="A11" s="49">
        <v>43247</v>
      </c>
      <c r="B11" s="40" t="s">
        <v>91</v>
      </c>
      <c r="C11" s="4">
        <v>4</v>
      </c>
      <c r="D11" s="4">
        <v>2</v>
      </c>
      <c r="E11" s="4">
        <v>2</v>
      </c>
      <c r="F11" s="4"/>
    </row>
    <row r="12" spans="1:6" x14ac:dyDescent="0.25">
      <c r="A12" s="49">
        <v>43249</v>
      </c>
      <c r="B12" s="40" t="s">
        <v>92</v>
      </c>
      <c r="C12" s="4">
        <v>4</v>
      </c>
      <c r="D12" s="4">
        <v>1</v>
      </c>
      <c r="E12" s="4">
        <v>3</v>
      </c>
      <c r="F12" s="4"/>
    </row>
    <row r="13" spans="1:6" x14ac:dyDescent="0.25">
      <c r="A13" s="41" t="s">
        <v>23</v>
      </c>
      <c r="B13" s="42"/>
      <c r="C13" s="17">
        <f>SUM(C4:C12)</f>
        <v>39</v>
      </c>
      <c r="D13" s="17">
        <f t="shared" ref="D13:E13" si="0">SUM(D4:D12)</f>
        <v>18</v>
      </c>
      <c r="E13" s="17">
        <f t="shared" si="0"/>
        <v>21</v>
      </c>
      <c r="F13" s="4"/>
    </row>
    <row r="14" spans="1:6" x14ac:dyDescent="0.25">
      <c r="A14" s="43"/>
      <c r="B14" s="38"/>
      <c r="C14" s="4"/>
      <c r="D14" s="4"/>
      <c r="E14" s="4"/>
      <c r="F14" s="4"/>
    </row>
    <row r="15" spans="1:6" x14ac:dyDescent="0.25">
      <c r="A15" s="39" t="s">
        <v>14</v>
      </c>
      <c r="B15" s="39" t="s">
        <v>5</v>
      </c>
      <c r="C15" s="35" t="s">
        <v>0</v>
      </c>
      <c r="D15" s="35" t="s">
        <v>1</v>
      </c>
      <c r="E15" s="35" t="s">
        <v>2</v>
      </c>
      <c r="F15" s="4"/>
    </row>
    <row r="16" spans="1:6" x14ac:dyDescent="0.25">
      <c r="A16" s="49">
        <v>43253</v>
      </c>
      <c r="B16" s="44" t="s">
        <v>93</v>
      </c>
      <c r="C16" s="29">
        <v>2</v>
      </c>
      <c r="D16" s="29">
        <v>2</v>
      </c>
      <c r="E16" s="29">
        <v>0</v>
      </c>
      <c r="F16" s="4"/>
    </row>
    <row r="17" spans="1:6" x14ac:dyDescent="0.25">
      <c r="A17" s="49">
        <v>43259</v>
      </c>
      <c r="B17" s="45" t="s">
        <v>94</v>
      </c>
      <c r="C17" s="29">
        <v>2</v>
      </c>
      <c r="D17" s="29">
        <v>2</v>
      </c>
      <c r="E17" s="29">
        <v>0</v>
      </c>
      <c r="F17" s="4"/>
    </row>
    <row r="18" spans="1:6" x14ac:dyDescent="0.25">
      <c r="A18" s="49">
        <v>43260</v>
      </c>
      <c r="B18" s="45" t="s">
        <v>95</v>
      </c>
      <c r="C18" s="29">
        <v>1</v>
      </c>
      <c r="D18" s="29">
        <v>0</v>
      </c>
      <c r="E18" s="29">
        <v>1</v>
      </c>
      <c r="F18" s="4"/>
    </row>
    <row r="19" spans="1:6" x14ac:dyDescent="0.25">
      <c r="A19" s="49">
        <v>43264</v>
      </c>
      <c r="B19" s="45" t="s">
        <v>96</v>
      </c>
      <c r="C19" s="29">
        <v>1</v>
      </c>
      <c r="D19" s="29">
        <v>1</v>
      </c>
      <c r="E19" s="29">
        <v>0</v>
      </c>
      <c r="F19" s="4"/>
    </row>
    <row r="20" spans="1:6" x14ac:dyDescent="0.25">
      <c r="A20" s="49">
        <v>43267</v>
      </c>
      <c r="B20" s="45" t="s">
        <v>97</v>
      </c>
      <c r="C20" s="29">
        <v>1</v>
      </c>
      <c r="D20" s="29">
        <v>1</v>
      </c>
      <c r="E20" s="29">
        <v>0</v>
      </c>
      <c r="F20" s="4"/>
    </row>
    <row r="21" spans="1:6" x14ac:dyDescent="0.25">
      <c r="A21" s="49">
        <v>43271</v>
      </c>
      <c r="B21" s="45" t="s">
        <v>98</v>
      </c>
      <c r="C21" s="3">
        <v>2</v>
      </c>
      <c r="D21" s="3">
        <v>1</v>
      </c>
      <c r="E21" s="3">
        <v>1</v>
      </c>
      <c r="F21" s="4"/>
    </row>
    <row r="22" spans="1:6" x14ac:dyDescent="0.25">
      <c r="A22" s="50">
        <v>43274</v>
      </c>
      <c r="B22" s="45" t="s">
        <v>99</v>
      </c>
      <c r="C22" s="3">
        <v>4</v>
      </c>
      <c r="D22" s="3">
        <v>3</v>
      </c>
      <c r="E22" s="3">
        <v>1</v>
      </c>
      <c r="F22" s="4"/>
    </row>
    <row r="23" spans="1:6" x14ac:dyDescent="0.25">
      <c r="A23" s="49">
        <v>43278</v>
      </c>
      <c r="B23" s="45" t="s">
        <v>100</v>
      </c>
      <c r="C23" s="3">
        <v>2</v>
      </c>
      <c r="D23" s="3">
        <v>1</v>
      </c>
      <c r="E23" s="3">
        <v>1</v>
      </c>
      <c r="F23" s="4"/>
    </row>
    <row r="24" spans="1:6" x14ac:dyDescent="0.25">
      <c r="A24" s="49">
        <v>43279</v>
      </c>
      <c r="B24" s="45" t="s">
        <v>42</v>
      </c>
      <c r="C24" s="3">
        <v>8</v>
      </c>
      <c r="D24" s="3">
        <v>4</v>
      </c>
      <c r="E24" s="3">
        <v>4</v>
      </c>
      <c r="F24" s="4"/>
    </row>
    <row r="25" spans="1:6" x14ac:dyDescent="0.25">
      <c r="A25" s="41" t="s">
        <v>23</v>
      </c>
      <c r="B25" s="46"/>
      <c r="C25" s="17">
        <f>SUM(C16:C24)</f>
        <v>23</v>
      </c>
      <c r="D25" s="17">
        <f t="shared" ref="D25:E25" si="1">SUM(D16:D24)</f>
        <v>15</v>
      </c>
      <c r="E25" s="17">
        <f t="shared" si="1"/>
        <v>8</v>
      </c>
      <c r="F25" s="4"/>
    </row>
    <row r="26" spans="1:6" x14ac:dyDescent="0.25">
      <c r="A26" s="37"/>
      <c r="B26" s="47"/>
      <c r="C26" s="34"/>
      <c r="D26" s="34"/>
      <c r="E26" s="34"/>
      <c r="F26" s="4"/>
    </row>
    <row r="27" spans="1:6" x14ac:dyDescent="0.25">
      <c r="A27" s="39" t="s">
        <v>16</v>
      </c>
      <c r="B27" s="39" t="s">
        <v>5</v>
      </c>
      <c r="C27" s="35" t="s">
        <v>0</v>
      </c>
      <c r="D27" s="35" t="s">
        <v>1</v>
      </c>
      <c r="E27" s="35" t="s">
        <v>2</v>
      </c>
      <c r="F27" s="4"/>
    </row>
    <row r="28" spans="1:6" x14ac:dyDescent="0.25">
      <c r="A28" s="49">
        <v>43282</v>
      </c>
      <c r="B28" s="45" t="s">
        <v>101</v>
      </c>
      <c r="C28" s="29">
        <v>3</v>
      </c>
      <c r="D28" s="29">
        <v>1</v>
      </c>
      <c r="E28" s="29">
        <v>2</v>
      </c>
      <c r="F28" s="4"/>
    </row>
    <row r="29" spans="1:6" x14ac:dyDescent="0.25">
      <c r="A29" s="50">
        <v>43287</v>
      </c>
      <c r="B29" s="45" t="s">
        <v>102</v>
      </c>
      <c r="C29" s="29">
        <v>3</v>
      </c>
      <c r="D29" s="29">
        <v>1</v>
      </c>
      <c r="E29" s="29">
        <v>2</v>
      </c>
      <c r="F29" s="4"/>
    </row>
    <row r="30" spans="1:6" x14ac:dyDescent="0.25">
      <c r="A30" s="49">
        <v>43290</v>
      </c>
      <c r="B30" s="45" t="s">
        <v>103</v>
      </c>
      <c r="C30" s="29">
        <v>4</v>
      </c>
      <c r="D30" s="29">
        <v>1</v>
      </c>
      <c r="E30" s="29">
        <v>3</v>
      </c>
      <c r="F30" s="4"/>
    </row>
    <row r="31" spans="1:6" x14ac:dyDescent="0.25">
      <c r="A31" s="49">
        <v>43295</v>
      </c>
      <c r="B31" s="45" t="s">
        <v>104</v>
      </c>
      <c r="C31" s="3">
        <v>11</v>
      </c>
      <c r="D31" s="3">
        <v>7</v>
      </c>
      <c r="E31" s="3">
        <v>4</v>
      </c>
      <c r="F31" s="4"/>
    </row>
    <row r="32" spans="1:6" x14ac:dyDescent="0.25">
      <c r="A32" s="49">
        <v>43299</v>
      </c>
      <c r="B32" s="45" t="s">
        <v>105</v>
      </c>
      <c r="C32" s="3">
        <v>6</v>
      </c>
      <c r="D32" s="3">
        <v>3</v>
      </c>
      <c r="E32" s="3">
        <v>3</v>
      </c>
      <c r="F32" s="4"/>
    </row>
    <row r="33" spans="1:6" x14ac:dyDescent="0.25">
      <c r="A33" s="49">
        <v>43303</v>
      </c>
      <c r="B33" s="45" t="s">
        <v>106</v>
      </c>
      <c r="C33" s="3">
        <v>4</v>
      </c>
      <c r="D33" s="3">
        <v>2</v>
      </c>
      <c r="E33" s="3">
        <v>2</v>
      </c>
      <c r="F33" s="4"/>
    </row>
    <row r="34" spans="1:6" x14ac:dyDescent="0.25">
      <c r="A34" s="49">
        <v>43305</v>
      </c>
      <c r="B34" s="45" t="s">
        <v>107</v>
      </c>
      <c r="C34" s="3">
        <v>6</v>
      </c>
      <c r="D34" s="3">
        <v>4</v>
      </c>
      <c r="E34" s="3">
        <v>2</v>
      </c>
      <c r="F34" s="4"/>
    </row>
    <row r="35" spans="1:6" x14ac:dyDescent="0.25">
      <c r="A35" s="49">
        <v>43311</v>
      </c>
      <c r="B35" s="45" t="s">
        <v>108</v>
      </c>
      <c r="C35" s="3">
        <v>1</v>
      </c>
      <c r="D35" s="3">
        <v>1</v>
      </c>
      <c r="E35" s="3">
        <v>0</v>
      </c>
      <c r="F35" s="4"/>
    </row>
    <row r="36" spans="1:6" x14ac:dyDescent="0.25">
      <c r="A36" s="41" t="s">
        <v>60</v>
      </c>
      <c r="B36" s="46"/>
      <c r="C36" s="17">
        <f>SUM(C28:C35)</f>
        <v>38</v>
      </c>
      <c r="D36" s="17">
        <f>SUM(D28:D35)</f>
        <v>20</v>
      </c>
      <c r="E36" s="17">
        <f>SUM(E28:E35)</f>
        <v>18</v>
      </c>
      <c r="F36" s="4"/>
    </row>
    <row r="37" spans="1:6" x14ac:dyDescent="0.25">
      <c r="A37" s="37"/>
      <c r="B37" s="38"/>
      <c r="C37" s="4"/>
      <c r="D37" s="4"/>
      <c r="E37" s="4"/>
      <c r="F37" s="4"/>
    </row>
    <row r="38" spans="1:6" x14ac:dyDescent="0.25">
      <c r="A38" s="35" t="s">
        <v>17</v>
      </c>
      <c r="B38" s="35" t="s">
        <v>5</v>
      </c>
      <c r="C38" s="35" t="s">
        <v>0</v>
      </c>
      <c r="D38" s="35" t="s">
        <v>1</v>
      </c>
      <c r="E38" s="35" t="s">
        <v>2</v>
      </c>
      <c r="F38" s="4"/>
    </row>
    <row r="39" spans="1:6" x14ac:dyDescent="0.25">
      <c r="A39" s="48">
        <v>43313</v>
      </c>
      <c r="B39" s="36" t="s">
        <v>109</v>
      </c>
      <c r="C39" s="4">
        <v>6</v>
      </c>
      <c r="D39" s="4">
        <v>4</v>
      </c>
      <c r="E39" s="4">
        <v>2</v>
      </c>
      <c r="F39" s="4"/>
    </row>
    <row r="40" spans="1:6" x14ac:dyDescent="0.25">
      <c r="A40" s="48">
        <v>43316</v>
      </c>
      <c r="B40" s="36" t="s">
        <v>110</v>
      </c>
      <c r="C40" s="4">
        <v>37</v>
      </c>
      <c r="D40" s="4">
        <v>10</v>
      </c>
      <c r="E40" s="4">
        <v>27</v>
      </c>
      <c r="F40" s="4"/>
    </row>
    <row r="41" spans="1:6" x14ac:dyDescent="0.25">
      <c r="A41" s="48">
        <v>43319</v>
      </c>
      <c r="B41" s="36" t="s">
        <v>111</v>
      </c>
      <c r="C41" s="4">
        <v>2</v>
      </c>
      <c r="D41" s="4">
        <v>1</v>
      </c>
      <c r="E41" s="4">
        <v>1</v>
      </c>
      <c r="F41" s="4"/>
    </row>
    <row r="42" spans="1:6" x14ac:dyDescent="0.25">
      <c r="A42" s="48">
        <v>43322</v>
      </c>
      <c r="B42" s="36" t="s">
        <v>112</v>
      </c>
      <c r="C42" s="4">
        <v>6</v>
      </c>
      <c r="D42" s="4">
        <v>1</v>
      </c>
      <c r="E42" s="4">
        <v>5</v>
      </c>
      <c r="F42" s="4"/>
    </row>
    <row r="43" spans="1:6" x14ac:dyDescent="0.25">
      <c r="A43" s="48">
        <v>43327</v>
      </c>
      <c r="B43" s="36" t="s">
        <v>113</v>
      </c>
      <c r="C43" s="4">
        <v>2</v>
      </c>
      <c r="D43" s="4">
        <v>0</v>
      </c>
      <c r="E43" s="4">
        <v>2</v>
      </c>
      <c r="F43" s="4"/>
    </row>
    <row r="44" spans="1:6" x14ac:dyDescent="0.25">
      <c r="A44" s="48">
        <v>43329</v>
      </c>
      <c r="B44" s="36" t="s">
        <v>114</v>
      </c>
      <c r="C44" s="4">
        <v>2</v>
      </c>
      <c r="D44" s="4">
        <v>2</v>
      </c>
      <c r="E44" s="4">
        <v>0</v>
      </c>
      <c r="F44" s="4"/>
    </row>
    <row r="45" spans="1:6" x14ac:dyDescent="0.25">
      <c r="A45" s="48">
        <v>43335</v>
      </c>
      <c r="B45" s="36" t="s">
        <v>115</v>
      </c>
      <c r="C45" s="4">
        <v>1</v>
      </c>
      <c r="D45" s="4">
        <v>1</v>
      </c>
      <c r="E45" s="4">
        <v>0</v>
      </c>
      <c r="F45" s="4"/>
    </row>
    <row r="46" spans="1:6" x14ac:dyDescent="0.25">
      <c r="A46" s="48">
        <v>43343</v>
      </c>
      <c r="B46" s="36" t="s">
        <v>116</v>
      </c>
      <c r="C46" s="4">
        <v>17</v>
      </c>
      <c r="D46" s="4">
        <v>13</v>
      </c>
      <c r="E46" s="4">
        <v>4</v>
      </c>
      <c r="F46" s="4"/>
    </row>
    <row r="47" spans="1:6" x14ac:dyDescent="0.25">
      <c r="A47" s="7" t="s">
        <v>60</v>
      </c>
      <c r="B47" s="8"/>
      <c r="C47" s="17">
        <f>SUM(C39:C46)</f>
        <v>73</v>
      </c>
      <c r="D47" s="17">
        <f>SUM(D39:D46)</f>
        <v>32</v>
      </c>
      <c r="E47" s="17">
        <f>SUM(E39:E46)</f>
        <v>41</v>
      </c>
      <c r="F47" s="4"/>
    </row>
    <row r="48" spans="1:6" x14ac:dyDescent="0.25">
      <c r="A48" s="1"/>
      <c r="B48" s="2"/>
      <c r="C48" s="4"/>
      <c r="D48" s="4"/>
      <c r="E48" s="4"/>
      <c r="F48" s="4"/>
    </row>
    <row r="49" spans="1:6" x14ac:dyDescent="0.25">
      <c r="A49" s="35" t="s">
        <v>18</v>
      </c>
      <c r="B49" s="35" t="s">
        <v>5</v>
      </c>
      <c r="C49" s="35" t="s">
        <v>0</v>
      </c>
      <c r="D49" s="35" t="s">
        <v>1</v>
      </c>
      <c r="E49" s="35" t="s">
        <v>2</v>
      </c>
      <c r="F49" s="4"/>
    </row>
    <row r="50" spans="1:6" x14ac:dyDescent="0.25">
      <c r="A50" s="48">
        <v>43347</v>
      </c>
      <c r="B50" s="36" t="s">
        <v>117</v>
      </c>
      <c r="C50" s="29">
        <v>4</v>
      </c>
      <c r="D50" s="29">
        <v>2</v>
      </c>
      <c r="E50" s="29">
        <v>2</v>
      </c>
      <c r="F50" s="4"/>
    </row>
    <row r="51" spans="1:6" x14ac:dyDescent="0.25">
      <c r="A51" s="48">
        <v>43352</v>
      </c>
      <c r="B51" s="36" t="s">
        <v>118</v>
      </c>
      <c r="C51" s="29">
        <v>6</v>
      </c>
      <c r="D51" s="29">
        <v>4</v>
      </c>
      <c r="E51" s="29">
        <v>2</v>
      </c>
      <c r="F51" s="4"/>
    </row>
    <row r="52" spans="1:6" x14ac:dyDescent="0.25">
      <c r="A52" s="48">
        <v>43354</v>
      </c>
      <c r="B52" s="36" t="s">
        <v>119</v>
      </c>
      <c r="C52" s="29">
        <v>9</v>
      </c>
      <c r="D52" s="29">
        <v>5</v>
      </c>
      <c r="E52" s="29">
        <v>4</v>
      </c>
      <c r="F52" s="4"/>
    </row>
    <row r="53" spans="1:6" x14ac:dyDescent="0.25">
      <c r="A53" s="48">
        <v>43358</v>
      </c>
      <c r="B53" s="36" t="s">
        <v>120</v>
      </c>
      <c r="C53" s="29">
        <v>7</v>
      </c>
      <c r="D53" s="29">
        <v>5</v>
      </c>
      <c r="E53" s="29">
        <v>2</v>
      </c>
      <c r="F53" s="4"/>
    </row>
    <row r="54" spans="1:6" x14ac:dyDescent="0.25">
      <c r="A54" s="48">
        <v>43360</v>
      </c>
      <c r="B54" s="36" t="s">
        <v>121</v>
      </c>
      <c r="C54" s="29">
        <v>3</v>
      </c>
      <c r="D54" s="29">
        <v>3</v>
      </c>
      <c r="E54" s="29">
        <v>0</v>
      </c>
      <c r="F54" s="4"/>
    </row>
    <row r="55" spans="1:6" x14ac:dyDescent="0.25">
      <c r="A55" s="48">
        <v>43365</v>
      </c>
      <c r="B55" s="36" t="s">
        <v>122</v>
      </c>
      <c r="C55" s="29">
        <v>6</v>
      </c>
      <c r="D55" s="29">
        <v>3</v>
      </c>
      <c r="E55" s="29">
        <v>3</v>
      </c>
      <c r="F55" s="4"/>
    </row>
    <row r="56" spans="1:6" x14ac:dyDescent="0.25">
      <c r="A56" s="48">
        <v>43369</v>
      </c>
      <c r="B56" s="36" t="s">
        <v>123</v>
      </c>
      <c r="C56" s="3">
        <v>4</v>
      </c>
      <c r="D56" s="3">
        <v>1</v>
      </c>
      <c r="E56" s="3">
        <v>3</v>
      </c>
      <c r="F56" s="4"/>
    </row>
    <row r="57" spans="1:6" x14ac:dyDescent="0.25">
      <c r="A57" s="48">
        <v>43373</v>
      </c>
      <c r="B57" s="36" t="s">
        <v>124</v>
      </c>
      <c r="C57" s="3">
        <v>6</v>
      </c>
      <c r="D57" s="3">
        <v>3</v>
      </c>
      <c r="E57" s="3">
        <v>3</v>
      </c>
      <c r="F57" s="4"/>
    </row>
    <row r="58" spans="1:6" x14ac:dyDescent="0.25">
      <c r="A58" s="7" t="s">
        <v>60</v>
      </c>
      <c r="B58" s="8"/>
      <c r="C58" s="17">
        <f>SUM(C50:C57)</f>
        <v>45</v>
      </c>
      <c r="D58" s="17">
        <f t="shared" ref="D58:E58" si="2">SUM(D50:D57)</f>
        <v>26</v>
      </c>
      <c r="E58" s="17">
        <f t="shared" si="2"/>
        <v>19</v>
      </c>
      <c r="F58" s="4"/>
    </row>
    <row r="59" spans="1:6" x14ac:dyDescent="0.25">
      <c r="A59" s="1"/>
      <c r="B59" s="2"/>
      <c r="C59" s="4"/>
      <c r="D59" s="4"/>
      <c r="E59" s="4"/>
      <c r="F59" s="4"/>
    </row>
    <row r="60" spans="1:6" x14ac:dyDescent="0.25">
      <c r="A60" s="35" t="s">
        <v>19</v>
      </c>
      <c r="B60" s="35" t="s">
        <v>5</v>
      </c>
      <c r="C60" s="35" t="s">
        <v>0</v>
      </c>
      <c r="D60" s="35" t="s">
        <v>1</v>
      </c>
      <c r="E60" s="35" t="s">
        <v>2</v>
      </c>
      <c r="F60" s="4"/>
    </row>
    <row r="61" spans="1:6" x14ac:dyDescent="0.25">
      <c r="A61" s="48">
        <v>43376</v>
      </c>
      <c r="B61" s="36" t="s">
        <v>125</v>
      </c>
      <c r="C61" s="29">
        <v>4</v>
      </c>
      <c r="D61" s="29">
        <v>2</v>
      </c>
      <c r="E61" s="29">
        <v>2</v>
      </c>
      <c r="F61" s="4"/>
    </row>
    <row r="62" spans="1:6" x14ac:dyDescent="0.25">
      <c r="A62" s="48">
        <v>43378</v>
      </c>
      <c r="B62" s="36" t="s">
        <v>126</v>
      </c>
      <c r="C62" s="4">
        <v>15</v>
      </c>
      <c r="D62" s="4">
        <v>11</v>
      </c>
      <c r="E62" s="4">
        <v>4</v>
      </c>
      <c r="F62" s="4"/>
    </row>
    <row r="63" spans="1:6" x14ac:dyDescent="0.25">
      <c r="A63" s="48">
        <v>43381</v>
      </c>
      <c r="B63" s="36" t="s">
        <v>127</v>
      </c>
      <c r="C63" s="4">
        <v>5</v>
      </c>
      <c r="D63" s="4">
        <v>4</v>
      </c>
      <c r="E63" s="4">
        <v>1</v>
      </c>
      <c r="F63" s="4"/>
    </row>
    <row r="64" spans="1:6" x14ac:dyDescent="0.25">
      <c r="A64" s="7" t="s">
        <v>128</v>
      </c>
      <c r="B64" s="9"/>
      <c r="C64" s="17">
        <f>SUM(C61:C63)</f>
        <v>24</v>
      </c>
      <c r="D64" s="17">
        <f>SUM(D61:D63)</f>
        <v>17</v>
      </c>
      <c r="E64" s="17">
        <f>SUM(E61:E63)</f>
        <v>7</v>
      </c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B66" s="66" t="s">
        <v>219</v>
      </c>
      <c r="C66" s="65">
        <f>SUM(C64,C58,C47,C36,C25,C13)</f>
        <v>242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opLeftCell="A57" workbookViewId="0">
      <selection activeCell="D68" sqref="D68"/>
    </sheetView>
  </sheetViews>
  <sheetFormatPr defaultRowHeight="15" x14ac:dyDescent="0.25"/>
  <cols>
    <col min="1" max="1" width="18.42578125" style="33" customWidth="1"/>
    <col min="2" max="2" width="14.42578125" style="33" customWidth="1"/>
    <col min="3" max="3" width="10.85546875" style="33" customWidth="1"/>
    <col min="4" max="4" width="13.140625" style="33" customWidth="1"/>
    <col min="5" max="5" width="19.85546875" style="33" customWidth="1"/>
    <col min="6" max="16384" width="9.140625" style="33"/>
  </cols>
  <sheetData>
    <row r="1" spans="1:6" x14ac:dyDescent="0.25">
      <c r="A1" s="12" t="s">
        <v>129</v>
      </c>
      <c r="B1" s="13"/>
      <c r="C1" s="13"/>
      <c r="D1" s="13"/>
      <c r="E1" s="13"/>
    </row>
    <row r="2" spans="1:6" x14ac:dyDescent="0.25">
      <c r="A2" s="37"/>
      <c r="B2" s="38"/>
      <c r="C2" s="4"/>
      <c r="D2" s="4"/>
      <c r="E2" s="4"/>
    </row>
    <row r="3" spans="1:6" x14ac:dyDescent="0.25">
      <c r="A3" s="39" t="s">
        <v>27</v>
      </c>
      <c r="B3" s="39" t="s">
        <v>5</v>
      </c>
      <c r="C3" s="35" t="s">
        <v>0</v>
      </c>
      <c r="D3" s="35" t="s">
        <v>1</v>
      </c>
      <c r="E3" s="35" t="s">
        <v>2</v>
      </c>
      <c r="F3" s="4"/>
    </row>
    <row r="4" spans="1:6" x14ac:dyDescent="0.25">
      <c r="A4" s="52">
        <v>43572</v>
      </c>
      <c r="B4" s="53" t="s">
        <v>130</v>
      </c>
      <c r="C4" s="3">
        <v>4</v>
      </c>
      <c r="D4" s="3">
        <v>4</v>
      </c>
      <c r="E4" s="3">
        <v>0</v>
      </c>
      <c r="F4" s="4"/>
    </row>
    <row r="5" spans="1:6" x14ac:dyDescent="0.25">
      <c r="A5" s="52">
        <v>43574</v>
      </c>
      <c r="B5" s="53" t="s">
        <v>131</v>
      </c>
      <c r="C5" s="4">
        <v>6</v>
      </c>
      <c r="D5" s="4">
        <v>5</v>
      </c>
      <c r="E5" s="4">
        <v>1</v>
      </c>
      <c r="F5" s="4"/>
    </row>
    <row r="6" spans="1:6" x14ac:dyDescent="0.25">
      <c r="A6" s="52">
        <v>43578</v>
      </c>
      <c r="B6" s="53" t="s">
        <v>132</v>
      </c>
      <c r="C6" s="4">
        <v>3</v>
      </c>
      <c r="D6" s="4">
        <v>3</v>
      </c>
      <c r="E6" s="4">
        <v>0</v>
      </c>
      <c r="F6" s="4"/>
    </row>
    <row r="7" spans="1:6" x14ac:dyDescent="0.25">
      <c r="A7" s="52">
        <v>43581</v>
      </c>
      <c r="B7" s="53" t="s">
        <v>165</v>
      </c>
      <c r="C7" s="4">
        <v>5</v>
      </c>
      <c r="D7" s="4">
        <v>3</v>
      </c>
      <c r="E7" s="4">
        <v>2</v>
      </c>
      <c r="F7" s="4">
        <v>96</v>
      </c>
    </row>
    <row r="8" spans="1:6" x14ac:dyDescent="0.25">
      <c r="A8" s="41" t="s">
        <v>133</v>
      </c>
      <c r="B8" s="42"/>
      <c r="C8" s="17">
        <f>SUM(C4:C7)</f>
        <v>18</v>
      </c>
      <c r="D8" s="17">
        <f>SUM(D4:D7)</f>
        <v>15</v>
      </c>
      <c r="E8" s="17">
        <f>SUM(E4:E7)</f>
        <v>3</v>
      </c>
      <c r="F8" s="4"/>
    </row>
    <row r="9" spans="1:6" x14ac:dyDescent="0.25">
      <c r="A9" s="51"/>
      <c r="B9" s="51"/>
      <c r="C9" s="28"/>
      <c r="D9" s="28"/>
      <c r="E9" s="28"/>
      <c r="F9" s="4"/>
    </row>
    <row r="10" spans="1:6" x14ac:dyDescent="0.25">
      <c r="A10" s="39" t="s">
        <v>15</v>
      </c>
      <c r="B10" s="39" t="s">
        <v>5</v>
      </c>
      <c r="C10" s="35" t="s">
        <v>0</v>
      </c>
      <c r="D10" s="35" t="s">
        <v>1</v>
      </c>
      <c r="E10" s="35" t="s">
        <v>2</v>
      </c>
      <c r="F10" s="4"/>
    </row>
    <row r="11" spans="1:6" x14ac:dyDescent="0.25">
      <c r="A11" s="52">
        <v>43586</v>
      </c>
      <c r="B11" s="54" t="s">
        <v>135</v>
      </c>
      <c r="C11" s="29">
        <v>6</v>
      </c>
      <c r="D11" s="29">
        <v>4</v>
      </c>
      <c r="E11" s="29">
        <v>2</v>
      </c>
      <c r="F11" s="4"/>
    </row>
    <row r="12" spans="1:6" x14ac:dyDescent="0.25">
      <c r="A12" s="52">
        <v>43587</v>
      </c>
      <c r="B12" s="54" t="s">
        <v>136</v>
      </c>
      <c r="C12" s="29">
        <v>4</v>
      </c>
      <c r="D12" s="29">
        <v>2</v>
      </c>
      <c r="E12" s="29">
        <v>2</v>
      </c>
      <c r="F12" s="4"/>
    </row>
    <row r="13" spans="1:6" x14ac:dyDescent="0.25">
      <c r="A13" s="52">
        <v>43590</v>
      </c>
      <c r="B13" s="54" t="s">
        <v>137</v>
      </c>
      <c r="C13" s="29">
        <v>5</v>
      </c>
      <c r="D13" s="29">
        <v>1</v>
      </c>
      <c r="E13" s="29">
        <v>4</v>
      </c>
      <c r="F13" s="4"/>
    </row>
    <row r="14" spans="1:6" x14ac:dyDescent="0.25">
      <c r="A14" s="52">
        <v>43596</v>
      </c>
      <c r="B14" s="54" t="s">
        <v>138</v>
      </c>
      <c r="C14" s="29">
        <v>7</v>
      </c>
      <c r="D14" s="29">
        <v>4</v>
      </c>
      <c r="E14" s="29">
        <v>3</v>
      </c>
      <c r="F14" s="4"/>
    </row>
    <row r="15" spans="1:6" x14ac:dyDescent="0.25">
      <c r="A15" s="52">
        <v>43597</v>
      </c>
      <c r="B15" s="54" t="s">
        <v>139</v>
      </c>
      <c r="C15" s="29">
        <v>7</v>
      </c>
      <c r="D15" s="29">
        <v>4</v>
      </c>
      <c r="E15" s="29">
        <v>3</v>
      </c>
      <c r="F15" s="4"/>
    </row>
    <row r="16" spans="1:6" x14ac:dyDescent="0.25">
      <c r="A16" s="52">
        <v>43600</v>
      </c>
      <c r="B16" s="68" t="s">
        <v>140</v>
      </c>
      <c r="C16" s="57">
        <v>3</v>
      </c>
      <c r="D16" s="57">
        <v>2</v>
      </c>
      <c r="E16" s="57">
        <v>1</v>
      </c>
      <c r="F16" s="55"/>
    </row>
    <row r="17" spans="1:6" x14ac:dyDescent="0.25">
      <c r="A17" s="52">
        <v>43602</v>
      </c>
      <c r="B17" s="68" t="s">
        <v>141</v>
      </c>
      <c r="C17" s="57">
        <v>17</v>
      </c>
      <c r="D17" s="57">
        <v>15</v>
      </c>
      <c r="E17" s="57">
        <v>2</v>
      </c>
      <c r="F17" s="55"/>
    </row>
    <row r="18" spans="1:6" x14ac:dyDescent="0.25">
      <c r="A18" s="52">
        <v>43603</v>
      </c>
      <c r="B18" s="68" t="s">
        <v>142</v>
      </c>
      <c r="C18" s="57">
        <v>6</v>
      </c>
      <c r="D18" s="57">
        <v>2</v>
      </c>
      <c r="E18" s="57">
        <v>4</v>
      </c>
      <c r="F18" s="55"/>
    </row>
    <row r="19" spans="1:6" x14ac:dyDescent="0.25">
      <c r="A19" s="52">
        <v>43608</v>
      </c>
      <c r="B19" s="68" t="s">
        <v>143</v>
      </c>
      <c r="C19" s="69">
        <v>4</v>
      </c>
      <c r="D19" s="69">
        <v>3</v>
      </c>
      <c r="E19" s="69">
        <v>1</v>
      </c>
      <c r="F19" s="55"/>
    </row>
    <row r="20" spans="1:6" x14ac:dyDescent="0.25">
      <c r="A20" s="52">
        <v>43610</v>
      </c>
      <c r="B20" s="68" t="s">
        <v>144</v>
      </c>
      <c r="C20" s="69">
        <v>8</v>
      </c>
      <c r="D20" s="69">
        <v>4</v>
      </c>
      <c r="E20" s="69">
        <v>4</v>
      </c>
      <c r="F20" s="55"/>
    </row>
    <row r="21" spans="1:6" x14ac:dyDescent="0.25">
      <c r="A21" s="52">
        <v>43615</v>
      </c>
      <c r="B21" s="68" t="s">
        <v>145</v>
      </c>
      <c r="C21" s="69">
        <v>6</v>
      </c>
      <c r="D21" s="69">
        <v>3</v>
      </c>
      <c r="E21" s="69">
        <v>3</v>
      </c>
      <c r="F21" s="55"/>
    </row>
    <row r="22" spans="1:6" x14ac:dyDescent="0.25">
      <c r="A22" s="41" t="s">
        <v>134</v>
      </c>
      <c r="B22" s="42"/>
      <c r="C22" s="17">
        <f>SUM(C11:C21)</f>
        <v>73</v>
      </c>
      <c r="D22" s="17">
        <f>SUM(D11:D21)</f>
        <v>44</v>
      </c>
      <c r="E22" s="17">
        <f>SUM(E11:E21)</f>
        <v>29</v>
      </c>
      <c r="F22" s="4"/>
    </row>
    <row r="23" spans="1:6" x14ac:dyDescent="0.25">
      <c r="A23" s="43"/>
      <c r="B23" s="38"/>
      <c r="C23" s="28"/>
      <c r="D23" s="28"/>
      <c r="E23" s="28"/>
      <c r="F23" s="4"/>
    </row>
    <row r="24" spans="1:6" x14ac:dyDescent="0.25">
      <c r="A24" s="39" t="s">
        <v>14</v>
      </c>
      <c r="B24" s="39" t="s">
        <v>5</v>
      </c>
      <c r="C24" s="35" t="s">
        <v>0</v>
      </c>
      <c r="D24" s="35" t="s">
        <v>1</v>
      </c>
      <c r="E24" s="35" t="s">
        <v>2</v>
      </c>
      <c r="F24" s="4"/>
    </row>
    <row r="25" spans="1:6" x14ac:dyDescent="0.25">
      <c r="A25" s="52">
        <v>43617</v>
      </c>
      <c r="B25" s="54" t="s">
        <v>146</v>
      </c>
      <c r="C25" s="29">
        <v>3</v>
      </c>
      <c r="D25" s="29">
        <v>0</v>
      </c>
      <c r="E25" s="29">
        <v>3</v>
      </c>
      <c r="F25" s="4"/>
    </row>
    <row r="26" spans="1:6" x14ac:dyDescent="0.25">
      <c r="A26" s="52">
        <v>43624</v>
      </c>
      <c r="B26" s="54" t="s">
        <v>147</v>
      </c>
      <c r="C26" s="29">
        <v>2</v>
      </c>
      <c r="D26" s="29">
        <v>2</v>
      </c>
      <c r="E26" s="29">
        <v>0</v>
      </c>
      <c r="F26" s="4"/>
    </row>
    <row r="27" spans="1:6" x14ac:dyDescent="0.25">
      <c r="A27" s="52">
        <v>43632</v>
      </c>
      <c r="B27" s="54" t="s">
        <v>148</v>
      </c>
      <c r="C27" s="29">
        <v>2</v>
      </c>
      <c r="D27" s="29">
        <v>1</v>
      </c>
      <c r="E27" s="29">
        <v>1</v>
      </c>
      <c r="F27" s="4"/>
    </row>
    <row r="28" spans="1:6" x14ac:dyDescent="0.25">
      <c r="A28" s="52">
        <v>43636</v>
      </c>
      <c r="B28" s="68" t="s">
        <v>149</v>
      </c>
      <c r="C28" s="57">
        <v>2</v>
      </c>
      <c r="D28" s="57">
        <v>0</v>
      </c>
      <c r="E28" s="57">
        <v>2</v>
      </c>
      <c r="F28" s="4"/>
    </row>
    <row r="29" spans="1:6" x14ac:dyDescent="0.25">
      <c r="A29" s="52">
        <v>43641</v>
      </c>
      <c r="B29" s="68" t="s">
        <v>150</v>
      </c>
      <c r="C29" s="69">
        <v>1</v>
      </c>
      <c r="D29" s="69">
        <v>1</v>
      </c>
      <c r="E29" s="69">
        <v>0</v>
      </c>
      <c r="F29" s="4"/>
    </row>
    <row r="30" spans="1:6" x14ac:dyDescent="0.25">
      <c r="A30" s="52">
        <v>43645</v>
      </c>
      <c r="B30" s="54" t="s">
        <v>201</v>
      </c>
      <c r="C30" s="3">
        <v>2</v>
      </c>
      <c r="D30" s="3">
        <v>2</v>
      </c>
      <c r="E30" s="3">
        <v>0</v>
      </c>
      <c r="F30" s="4"/>
    </row>
    <row r="31" spans="1:6" x14ac:dyDescent="0.25">
      <c r="A31" s="52">
        <v>43646</v>
      </c>
      <c r="B31" s="54" t="s">
        <v>151</v>
      </c>
      <c r="C31" s="3">
        <v>9</v>
      </c>
      <c r="D31" s="3">
        <v>4</v>
      </c>
      <c r="E31" s="3">
        <v>5</v>
      </c>
      <c r="F31" s="4"/>
    </row>
    <row r="32" spans="1:6" x14ac:dyDescent="0.25">
      <c r="A32" s="41" t="s">
        <v>22</v>
      </c>
      <c r="B32" s="46"/>
      <c r="C32" s="17">
        <f>SUM(C25:C31)</f>
        <v>21</v>
      </c>
      <c r="D32" s="17">
        <f>SUM(D25:D31)</f>
        <v>10</v>
      </c>
      <c r="E32" s="17">
        <f>SUM(E25:E31)</f>
        <v>11</v>
      </c>
      <c r="F32" s="4"/>
    </row>
    <row r="33" spans="1:6" x14ac:dyDescent="0.25">
      <c r="A33" s="37"/>
      <c r="B33" s="47"/>
      <c r="C33" s="34"/>
      <c r="D33" s="34"/>
      <c r="E33" s="34"/>
      <c r="F33" s="4"/>
    </row>
    <row r="34" spans="1:6" x14ac:dyDescent="0.25">
      <c r="A34" s="39" t="s">
        <v>16</v>
      </c>
      <c r="B34" s="39" t="s">
        <v>5</v>
      </c>
      <c r="C34" s="35" t="s">
        <v>0</v>
      </c>
      <c r="D34" s="35" t="s">
        <v>1</v>
      </c>
      <c r="E34" s="35" t="s">
        <v>2</v>
      </c>
      <c r="F34" s="4"/>
    </row>
    <row r="35" spans="1:6" x14ac:dyDescent="0.25">
      <c r="A35" s="52">
        <v>43650</v>
      </c>
      <c r="B35" s="54" t="s">
        <v>152</v>
      </c>
      <c r="C35" s="3">
        <v>8</v>
      </c>
      <c r="D35" s="3">
        <v>4</v>
      </c>
      <c r="E35" s="3">
        <v>4</v>
      </c>
      <c r="F35" s="4"/>
    </row>
    <row r="36" spans="1:6" x14ac:dyDescent="0.25">
      <c r="A36" s="52">
        <v>43656</v>
      </c>
      <c r="B36" s="54" t="s">
        <v>153</v>
      </c>
      <c r="C36" s="3">
        <v>4</v>
      </c>
      <c r="D36" s="3">
        <v>2</v>
      </c>
      <c r="E36" s="3">
        <v>2</v>
      </c>
      <c r="F36" s="4"/>
    </row>
    <row r="37" spans="1:6" x14ac:dyDescent="0.25">
      <c r="A37" s="52">
        <v>43662</v>
      </c>
      <c r="B37" s="54" t="s">
        <v>154</v>
      </c>
      <c r="C37" s="3">
        <v>2</v>
      </c>
      <c r="D37" s="3">
        <v>2</v>
      </c>
      <c r="E37" s="3">
        <v>0</v>
      </c>
      <c r="F37" s="4"/>
    </row>
    <row r="38" spans="1:6" x14ac:dyDescent="0.25">
      <c r="A38" s="52">
        <v>43677</v>
      </c>
      <c r="B38" s="54" t="s">
        <v>155</v>
      </c>
      <c r="C38" s="3">
        <v>6</v>
      </c>
      <c r="D38" s="3">
        <v>4</v>
      </c>
      <c r="E38" s="3">
        <v>2</v>
      </c>
      <c r="F38" s="4"/>
    </row>
    <row r="39" spans="1:6" x14ac:dyDescent="0.25">
      <c r="A39" s="41" t="s">
        <v>133</v>
      </c>
      <c r="B39" s="46"/>
      <c r="C39" s="17">
        <f>SUM(C35:C38)</f>
        <v>20</v>
      </c>
      <c r="D39" s="17">
        <f>SUM(D35:D38)</f>
        <v>12</v>
      </c>
      <c r="E39" s="17">
        <f>SUM(E35:E38)</f>
        <v>8</v>
      </c>
      <c r="F39" s="4"/>
    </row>
    <row r="40" spans="1:6" x14ac:dyDescent="0.25">
      <c r="A40" s="37"/>
      <c r="B40" s="38"/>
      <c r="C40" s="4"/>
      <c r="D40" s="4"/>
      <c r="E40" s="4"/>
      <c r="F40" s="4"/>
    </row>
    <row r="41" spans="1:6" x14ac:dyDescent="0.25">
      <c r="A41" s="35" t="s">
        <v>17</v>
      </c>
      <c r="B41" s="35" t="s">
        <v>5</v>
      </c>
      <c r="C41" s="35" t="s">
        <v>0</v>
      </c>
      <c r="D41" s="35" t="s">
        <v>1</v>
      </c>
      <c r="E41" s="35" t="s">
        <v>2</v>
      </c>
      <c r="F41" s="4"/>
    </row>
    <row r="42" spans="1:6" x14ac:dyDescent="0.25">
      <c r="A42" s="52">
        <v>43686</v>
      </c>
      <c r="B42" s="54" t="s">
        <v>156</v>
      </c>
      <c r="C42" s="4">
        <v>5</v>
      </c>
      <c r="D42" s="4">
        <v>2</v>
      </c>
      <c r="E42" s="4">
        <v>3</v>
      </c>
      <c r="F42" s="4"/>
    </row>
    <row r="43" spans="1:6" x14ac:dyDescent="0.25">
      <c r="A43" s="52">
        <v>43688</v>
      </c>
      <c r="B43" s="54" t="s">
        <v>157</v>
      </c>
      <c r="C43" s="55">
        <v>7</v>
      </c>
      <c r="D43" s="55">
        <v>6</v>
      </c>
      <c r="E43" s="55">
        <v>1</v>
      </c>
      <c r="F43" s="4"/>
    </row>
    <row r="44" spans="1:6" x14ac:dyDescent="0.25">
      <c r="A44" s="52">
        <v>43697</v>
      </c>
      <c r="B44" s="54" t="s">
        <v>158</v>
      </c>
      <c r="C44" s="55">
        <v>13</v>
      </c>
      <c r="D44" s="55">
        <v>6</v>
      </c>
      <c r="E44" s="55">
        <v>7</v>
      </c>
      <c r="F44" s="4"/>
    </row>
    <row r="45" spans="1:6" x14ac:dyDescent="0.25">
      <c r="A45" s="52">
        <v>43705</v>
      </c>
      <c r="B45" s="54" t="s">
        <v>159</v>
      </c>
      <c r="C45" s="55">
        <v>15</v>
      </c>
      <c r="D45" s="55">
        <v>6</v>
      </c>
      <c r="E45" s="55">
        <v>9</v>
      </c>
      <c r="F45" s="4"/>
    </row>
    <row r="46" spans="1:6" x14ac:dyDescent="0.25">
      <c r="A46" s="7" t="s">
        <v>133</v>
      </c>
      <c r="B46" s="8"/>
      <c r="C46" s="56">
        <f>SUM(C42:C45)</f>
        <v>40</v>
      </c>
      <c r="D46" s="56">
        <f>SUM(D42:D45)</f>
        <v>20</v>
      </c>
      <c r="E46" s="56">
        <f>SUM(E42:E45)</f>
        <v>20</v>
      </c>
      <c r="F46" s="4"/>
    </row>
    <row r="47" spans="1:6" x14ac:dyDescent="0.25">
      <c r="A47" s="1"/>
      <c r="B47" s="2"/>
      <c r="C47" s="55"/>
      <c r="D47" s="55"/>
      <c r="E47" s="55"/>
      <c r="F47" s="4"/>
    </row>
    <row r="48" spans="1:6" x14ac:dyDescent="0.25">
      <c r="A48" s="35" t="s">
        <v>18</v>
      </c>
      <c r="B48" s="35" t="s">
        <v>5</v>
      </c>
      <c r="C48" s="39" t="s">
        <v>0</v>
      </c>
      <c r="D48" s="39" t="s">
        <v>1</v>
      </c>
      <c r="E48" s="39" t="s">
        <v>2</v>
      </c>
      <c r="F48" s="4"/>
    </row>
    <row r="49" spans="1:6" x14ac:dyDescent="0.25">
      <c r="A49" s="52">
        <v>43716</v>
      </c>
      <c r="B49" s="68" t="s">
        <v>160</v>
      </c>
      <c r="C49" s="57">
        <v>8</v>
      </c>
      <c r="D49" s="57">
        <v>4</v>
      </c>
      <c r="E49" s="57">
        <v>4</v>
      </c>
      <c r="F49" s="55"/>
    </row>
    <row r="50" spans="1:6" x14ac:dyDescent="0.25">
      <c r="A50" s="52">
        <v>43723</v>
      </c>
      <c r="B50" s="68" t="s">
        <v>161</v>
      </c>
      <c r="C50" s="57">
        <v>11</v>
      </c>
      <c r="D50" s="57">
        <v>7</v>
      </c>
      <c r="E50" s="57">
        <v>4</v>
      </c>
      <c r="F50" s="55"/>
    </row>
    <row r="51" spans="1:6" x14ac:dyDescent="0.25">
      <c r="A51" s="52">
        <v>43728</v>
      </c>
      <c r="B51" s="68" t="s">
        <v>203</v>
      </c>
      <c r="C51" s="57">
        <v>6</v>
      </c>
      <c r="D51" s="57">
        <v>5</v>
      </c>
      <c r="E51" s="57">
        <v>1</v>
      </c>
      <c r="F51" s="55"/>
    </row>
    <row r="52" spans="1:6" x14ac:dyDescent="0.25">
      <c r="A52" s="52">
        <v>43730</v>
      </c>
      <c r="B52" s="68" t="s">
        <v>162</v>
      </c>
      <c r="C52" s="57">
        <v>10</v>
      </c>
      <c r="D52" s="57">
        <v>2</v>
      </c>
      <c r="E52" s="57">
        <v>8</v>
      </c>
      <c r="F52" s="55"/>
    </row>
    <row r="53" spans="1:6" x14ac:dyDescent="0.25">
      <c r="A53" s="52">
        <v>43736</v>
      </c>
      <c r="B53" s="68" t="s">
        <v>163</v>
      </c>
      <c r="C53" s="57">
        <v>1</v>
      </c>
      <c r="D53" s="57">
        <v>0</v>
      </c>
      <c r="E53" s="57">
        <v>1</v>
      </c>
      <c r="F53" s="55"/>
    </row>
    <row r="54" spans="1:6" x14ac:dyDescent="0.25">
      <c r="A54" s="52">
        <v>43738</v>
      </c>
      <c r="B54" s="68" t="s">
        <v>164</v>
      </c>
      <c r="C54" s="57">
        <v>2</v>
      </c>
      <c r="D54" s="57">
        <v>1</v>
      </c>
      <c r="E54" s="57">
        <v>1</v>
      </c>
      <c r="F54" s="55"/>
    </row>
    <row r="55" spans="1:6" x14ac:dyDescent="0.25">
      <c r="A55" s="7" t="s">
        <v>24</v>
      </c>
      <c r="B55" s="63"/>
      <c r="C55" s="17">
        <f>SUM(C49:C54)</f>
        <v>38</v>
      </c>
      <c r="D55" s="17">
        <f>SUM(D49:D54)</f>
        <v>19</v>
      </c>
      <c r="E55" s="17">
        <f>SUM(E49:E54)</f>
        <v>19</v>
      </c>
      <c r="F55" s="4"/>
    </row>
    <row r="56" spans="1:6" x14ac:dyDescent="0.25">
      <c r="A56" s="1"/>
      <c r="B56" s="2"/>
      <c r="C56" s="4"/>
      <c r="D56" s="4"/>
      <c r="E56" s="4"/>
      <c r="F56" s="4"/>
    </row>
    <row r="57" spans="1:6" x14ac:dyDescent="0.25">
      <c r="A57" s="35" t="s">
        <v>19</v>
      </c>
      <c r="B57" s="35" t="s">
        <v>5</v>
      </c>
      <c r="C57" s="39" t="s">
        <v>0</v>
      </c>
      <c r="D57" s="39" t="s">
        <v>1</v>
      </c>
      <c r="E57" s="39" t="s">
        <v>2</v>
      </c>
    </row>
    <row r="58" spans="1:6" x14ac:dyDescent="0.25">
      <c r="A58" s="52">
        <v>43740</v>
      </c>
      <c r="B58" s="54" t="s">
        <v>217</v>
      </c>
      <c r="C58" s="57">
        <v>12</v>
      </c>
      <c r="D58" s="57">
        <v>9</v>
      </c>
      <c r="E58" s="57">
        <v>3</v>
      </c>
    </row>
    <row r="59" spans="1:6" x14ac:dyDescent="0.25">
      <c r="A59" s="52">
        <v>43749</v>
      </c>
      <c r="B59" s="54" t="s">
        <v>218</v>
      </c>
      <c r="C59" s="29">
        <v>3</v>
      </c>
      <c r="D59" s="29">
        <v>2</v>
      </c>
      <c r="E59" s="29">
        <v>1</v>
      </c>
    </row>
    <row r="60" spans="1:6" x14ac:dyDescent="0.25">
      <c r="A60" s="7" t="s">
        <v>25</v>
      </c>
      <c r="B60" s="63"/>
      <c r="C60" s="17">
        <f>SUM(C58:C59)</f>
        <v>15</v>
      </c>
      <c r="D60" s="17">
        <f>SUM(D58:D59)</f>
        <v>11</v>
      </c>
      <c r="E60" s="17">
        <f>SUM(E58:E59)</f>
        <v>4</v>
      </c>
    </row>
    <row r="62" spans="1:6" x14ac:dyDescent="0.25">
      <c r="B62" s="67" t="s">
        <v>219</v>
      </c>
      <c r="C62" s="65">
        <f>SUM(C60,C55,C46,C39,C32,C22,C8)</f>
        <v>225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selection activeCell="B4" sqref="B4"/>
    </sheetView>
  </sheetViews>
  <sheetFormatPr defaultRowHeight="15" x14ac:dyDescent="0.25"/>
  <cols>
    <col min="1" max="1" width="18.42578125" style="33" customWidth="1"/>
    <col min="2" max="2" width="14.42578125" style="33" customWidth="1"/>
    <col min="3" max="3" width="10.85546875" style="33" customWidth="1"/>
    <col min="4" max="4" width="13.140625" style="33" customWidth="1"/>
    <col min="5" max="5" width="19.85546875" style="33" customWidth="1"/>
    <col min="6" max="6" width="9.140625" style="33"/>
    <col min="7" max="8" width="10.5703125" style="33" customWidth="1"/>
    <col min="9" max="16384" width="9.140625" style="33"/>
  </cols>
  <sheetData>
    <row r="1" spans="1:8" x14ac:dyDescent="0.25">
      <c r="A1" s="12" t="s">
        <v>186</v>
      </c>
      <c r="B1" s="13"/>
      <c r="C1" s="13"/>
      <c r="D1" s="13"/>
      <c r="E1" s="13"/>
    </row>
    <row r="2" spans="1:8" x14ac:dyDescent="0.25">
      <c r="A2" s="37"/>
      <c r="B2" s="38"/>
      <c r="C2" s="4"/>
      <c r="D2" s="4"/>
      <c r="E2" s="4"/>
    </row>
    <row r="3" spans="1:8" x14ac:dyDescent="0.25">
      <c r="A3" s="39" t="s">
        <v>27</v>
      </c>
      <c r="B3" s="39" t="s">
        <v>5</v>
      </c>
      <c r="C3" s="35" t="s">
        <v>0</v>
      </c>
      <c r="D3" s="35" t="s">
        <v>1</v>
      </c>
      <c r="E3" s="35" t="s">
        <v>2</v>
      </c>
      <c r="F3" s="4"/>
    </row>
    <row r="4" spans="1:8" x14ac:dyDescent="0.25">
      <c r="A4" s="52">
        <v>43951</v>
      </c>
      <c r="B4" s="78" t="s">
        <v>247</v>
      </c>
      <c r="C4" s="3">
        <v>2</v>
      </c>
      <c r="D4" s="3">
        <v>1</v>
      </c>
      <c r="E4" s="3">
        <v>1</v>
      </c>
      <c r="F4" s="55"/>
      <c r="G4" s="76"/>
      <c r="H4" s="77"/>
    </row>
    <row r="5" spans="1:8" x14ac:dyDescent="0.25">
      <c r="A5" s="52"/>
      <c r="C5" s="4"/>
      <c r="D5" s="4"/>
      <c r="E5" s="4"/>
      <c r="F5" s="4"/>
    </row>
    <row r="6" spans="1:8" x14ac:dyDescent="0.25">
      <c r="A6" s="41" t="s">
        <v>39</v>
      </c>
      <c r="B6" s="42"/>
      <c r="C6" s="17">
        <f>SUM(C4:C5)</f>
        <v>2</v>
      </c>
      <c r="D6" s="17">
        <f>SUM(D4:D5)</f>
        <v>1</v>
      </c>
      <c r="E6" s="17">
        <f>SUM(E4:E5)</f>
        <v>1</v>
      </c>
      <c r="F6" s="4"/>
    </row>
    <row r="7" spans="1:8" x14ac:dyDescent="0.25">
      <c r="A7" s="51"/>
      <c r="B7" s="51"/>
      <c r="C7" s="28"/>
      <c r="D7" s="28"/>
      <c r="E7" s="28"/>
      <c r="F7" s="4"/>
    </row>
    <row r="8" spans="1:8" x14ac:dyDescent="0.25">
      <c r="A8" s="39" t="s">
        <v>15</v>
      </c>
      <c r="B8" s="39" t="s">
        <v>5</v>
      </c>
      <c r="C8" s="35" t="s">
        <v>0</v>
      </c>
      <c r="D8" s="35" t="s">
        <v>1</v>
      </c>
      <c r="E8" s="35" t="s">
        <v>2</v>
      </c>
      <c r="F8" s="4"/>
    </row>
    <row r="9" spans="1:8" x14ac:dyDescent="0.25">
      <c r="A9" s="52">
        <v>43958</v>
      </c>
      <c r="B9" s="54" t="s">
        <v>187</v>
      </c>
      <c r="C9" s="29">
        <v>0</v>
      </c>
      <c r="D9" s="29">
        <v>0</v>
      </c>
      <c r="E9" s="29">
        <v>0</v>
      </c>
      <c r="F9" s="4"/>
    </row>
    <row r="10" spans="1:8" x14ac:dyDescent="0.25">
      <c r="A10" s="52">
        <v>43962</v>
      </c>
      <c r="B10" s="54" t="s">
        <v>188</v>
      </c>
      <c r="C10" s="29">
        <v>2</v>
      </c>
      <c r="D10" s="29">
        <v>1</v>
      </c>
      <c r="E10" s="29">
        <v>1</v>
      </c>
      <c r="F10" s="4"/>
    </row>
    <row r="11" spans="1:8" x14ac:dyDescent="0.25">
      <c r="A11" s="52">
        <v>43968</v>
      </c>
      <c r="B11" s="54" t="s">
        <v>189</v>
      </c>
      <c r="C11" s="29">
        <v>3</v>
      </c>
      <c r="D11" s="29">
        <v>2</v>
      </c>
      <c r="E11" s="29">
        <v>1</v>
      </c>
      <c r="F11" s="4"/>
    </row>
    <row r="12" spans="1:8" x14ac:dyDescent="0.25">
      <c r="A12" s="52">
        <v>43972</v>
      </c>
      <c r="B12" s="54" t="s">
        <v>190</v>
      </c>
      <c r="C12" s="29">
        <v>6</v>
      </c>
      <c r="D12" s="29">
        <v>4</v>
      </c>
      <c r="E12" s="29">
        <v>2</v>
      </c>
      <c r="F12" s="4"/>
    </row>
    <row r="13" spans="1:8" x14ac:dyDescent="0.25">
      <c r="A13" s="52">
        <v>43973</v>
      </c>
      <c r="B13" s="54" t="s">
        <v>204</v>
      </c>
      <c r="C13" s="29">
        <v>2</v>
      </c>
      <c r="D13" s="29">
        <v>1</v>
      </c>
      <c r="E13" s="29">
        <v>1</v>
      </c>
      <c r="F13" s="4"/>
    </row>
    <row r="14" spans="1:8" x14ac:dyDescent="0.25">
      <c r="A14" s="52">
        <v>43977</v>
      </c>
      <c r="B14" s="54" t="s">
        <v>191</v>
      </c>
      <c r="C14" s="29">
        <v>2</v>
      </c>
      <c r="D14" s="29">
        <v>2</v>
      </c>
      <c r="E14" s="29">
        <v>0</v>
      </c>
      <c r="F14" s="4"/>
    </row>
    <row r="15" spans="1:8" x14ac:dyDescent="0.25">
      <c r="A15" s="52">
        <v>43978</v>
      </c>
      <c r="B15" s="54" t="s">
        <v>192</v>
      </c>
      <c r="C15" s="29">
        <v>1</v>
      </c>
      <c r="D15" s="29">
        <v>1</v>
      </c>
      <c r="E15" s="29">
        <v>0</v>
      </c>
      <c r="F15" s="4"/>
    </row>
    <row r="16" spans="1:8" x14ac:dyDescent="0.25">
      <c r="A16" s="52">
        <v>43979</v>
      </c>
      <c r="B16" s="54" t="s">
        <v>193</v>
      </c>
      <c r="C16" s="29">
        <v>2</v>
      </c>
      <c r="D16" s="29">
        <v>2</v>
      </c>
      <c r="E16" s="29">
        <v>0</v>
      </c>
      <c r="F16" s="4"/>
    </row>
    <row r="17" spans="1:6" x14ac:dyDescent="0.25">
      <c r="A17" s="52">
        <v>43980</v>
      </c>
      <c r="B17" s="54" t="s">
        <v>194</v>
      </c>
      <c r="C17" s="3">
        <v>9</v>
      </c>
      <c r="D17" s="3">
        <v>6</v>
      </c>
      <c r="E17" s="3">
        <v>3</v>
      </c>
      <c r="F17" s="4"/>
    </row>
    <row r="18" spans="1:6" x14ac:dyDescent="0.25">
      <c r="A18" s="52">
        <v>43982</v>
      </c>
      <c r="B18" s="54" t="s">
        <v>205</v>
      </c>
      <c r="C18" s="3">
        <v>0</v>
      </c>
      <c r="D18" s="3">
        <v>0</v>
      </c>
      <c r="E18" s="3">
        <v>0</v>
      </c>
      <c r="F18" s="4"/>
    </row>
    <row r="19" spans="1:6" x14ac:dyDescent="0.25">
      <c r="A19" s="52"/>
      <c r="B19" s="54"/>
      <c r="C19" s="3"/>
      <c r="D19" s="3"/>
      <c r="E19" s="3"/>
      <c r="F19" s="4"/>
    </row>
    <row r="20" spans="1:6" x14ac:dyDescent="0.25">
      <c r="A20" s="41" t="s">
        <v>59</v>
      </c>
      <c r="B20" s="42"/>
      <c r="C20" s="17">
        <f>SUM(C9:C19)</f>
        <v>27</v>
      </c>
      <c r="D20" s="17">
        <f>SUM(D9:D19)</f>
        <v>19</v>
      </c>
      <c r="E20" s="17">
        <f>SUM(E9:E19)</f>
        <v>8</v>
      </c>
      <c r="F20" s="4"/>
    </row>
    <row r="21" spans="1:6" x14ac:dyDescent="0.25">
      <c r="A21" s="43"/>
      <c r="B21" s="38"/>
      <c r="C21" s="28"/>
      <c r="D21" s="28"/>
      <c r="E21" s="28"/>
      <c r="F21" s="4"/>
    </row>
    <row r="22" spans="1:6" x14ac:dyDescent="0.25">
      <c r="A22" s="39" t="s">
        <v>14</v>
      </c>
      <c r="B22" s="39" t="s">
        <v>5</v>
      </c>
      <c r="C22" s="35" t="s">
        <v>0</v>
      </c>
      <c r="D22" s="35" t="s">
        <v>1</v>
      </c>
      <c r="E22" s="35" t="s">
        <v>2</v>
      </c>
      <c r="F22" s="4"/>
    </row>
    <row r="23" spans="1:6" x14ac:dyDescent="0.25">
      <c r="A23" s="52">
        <v>43984</v>
      </c>
      <c r="B23" s="54" t="s">
        <v>195</v>
      </c>
      <c r="C23" s="29">
        <v>4</v>
      </c>
      <c r="D23" s="29">
        <v>4</v>
      </c>
      <c r="E23" s="29">
        <v>0</v>
      </c>
      <c r="F23" s="4"/>
    </row>
    <row r="24" spans="1:6" x14ac:dyDescent="0.25">
      <c r="A24" s="52">
        <v>43985</v>
      </c>
      <c r="B24" s="54" t="s">
        <v>196</v>
      </c>
      <c r="C24" s="29">
        <v>3</v>
      </c>
      <c r="D24" s="29">
        <v>2</v>
      </c>
      <c r="E24" s="29">
        <v>1</v>
      </c>
      <c r="F24" s="4"/>
    </row>
    <row r="25" spans="1:6" x14ac:dyDescent="0.25">
      <c r="A25" s="52">
        <v>43987</v>
      </c>
      <c r="B25" s="54" t="s">
        <v>197</v>
      </c>
      <c r="C25" s="29">
        <v>0</v>
      </c>
      <c r="D25" s="29">
        <v>0</v>
      </c>
      <c r="E25" s="29">
        <v>0</v>
      </c>
      <c r="F25" s="4"/>
    </row>
    <row r="26" spans="1:6" x14ac:dyDescent="0.25">
      <c r="A26" s="52">
        <v>43988</v>
      </c>
      <c r="B26" s="54" t="s">
        <v>198</v>
      </c>
      <c r="C26" s="29">
        <v>4</v>
      </c>
      <c r="D26" s="29">
        <v>1</v>
      </c>
      <c r="E26" s="29">
        <v>3</v>
      </c>
      <c r="F26" s="4"/>
    </row>
    <row r="27" spans="1:6" x14ac:dyDescent="0.25">
      <c r="A27" s="52">
        <v>43990</v>
      </c>
      <c r="B27" s="54" t="s">
        <v>206</v>
      </c>
      <c r="C27" s="3">
        <v>3</v>
      </c>
      <c r="D27" s="3">
        <v>2</v>
      </c>
      <c r="E27" s="3">
        <v>1</v>
      </c>
      <c r="F27" s="4"/>
    </row>
    <row r="28" spans="1:6" x14ac:dyDescent="0.25">
      <c r="A28" s="52">
        <v>43991</v>
      </c>
      <c r="B28" s="54" t="s">
        <v>207</v>
      </c>
      <c r="C28" s="29">
        <v>2</v>
      </c>
      <c r="D28" s="29">
        <v>2</v>
      </c>
      <c r="E28" s="29">
        <v>0</v>
      </c>
      <c r="F28" s="4"/>
    </row>
    <row r="29" spans="1:6" x14ac:dyDescent="0.25">
      <c r="A29" s="52">
        <v>43995</v>
      </c>
      <c r="B29" s="54" t="s">
        <v>199</v>
      </c>
      <c r="C29" s="57">
        <v>1</v>
      </c>
      <c r="D29" s="57">
        <v>1</v>
      </c>
      <c r="E29" s="57">
        <v>0</v>
      </c>
    </row>
    <row r="30" spans="1:6" x14ac:dyDescent="0.25">
      <c r="A30" s="52">
        <v>44002</v>
      </c>
      <c r="B30" s="54" t="s">
        <v>200</v>
      </c>
      <c r="C30" s="57">
        <v>6</v>
      </c>
      <c r="D30" s="57">
        <v>2</v>
      </c>
      <c r="E30" s="57">
        <v>4</v>
      </c>
    </row>
    <row r="31" spans="1:6" x14ac:dyDescent="0.25">
      <c r="A31" s="52"/>
      <c r="B31" s="54"/>
      <c r="C31" s="3"/>
      <c r="D31" s="3"/>
      <c r="E31" s="3"/>
      <c r="F31" s="4"/>
    </row>
    <row r="32" spans="1:6" x14ac:dyDescent="0.25">
      <c r="A32" s="41" t="s">
        <v>60</v>
      </c>
      <c r="B32" s="46"/>
      <c r="C32" s="17">
        <f>SUM(C23:C31)</f>
        <v>23</v>
      </c>
      <c r="D32" s="17">
        <f>SUM(D23:D31)</f>
        <v>14</v>
      </c>
      <c r="E32" s="17">
        <f>SUM(E23:E31)</f>
        <v>9</v>
      </c>
      <c r="F32" s="4"/>
    </row>
    <row r="33" spans="1:6" x14ac:dyDescent="0.25">
      <c r="A33" s="37"/>
      <c r="B33" s="47"/>
      <c r="C33" s="34"/>
      <c r="D33" s="34"/>
      <c r="E33" s="34"/>
      <c r="F33" s="4"/>
    </row>
    <row r="34" spans="1:6" x14ac:dyDescent="0.25">
      <c r="A34" s="39" t="s">
        <v>16</v>
      </c>
      <c r="B34" s="39" t="s">
        <v>5</v>
      </c>
      <c r="C34" s="35" t="s">
        <v>0</v>
      </c>
      <c r="D34" s="35" t="s">
        <v>1</v>
      </c>
      <c r="E34" s="35" t="s">
        <v>2</v>
      </c>
      <c r="F34" s="4"/>
    </row>
    <row r="35" spans="1:6" x14ac:dyDescent="0.25">
      <c r="A35" s="52">
        <v>44022</v>
      </c>
      <c r="B35" s="54" t="s">
        <v>208</v>
      </c>
      <c r="C35" s="3">
        <v>13</v>
      </c>
      <c r="D35" s="3">
        <v>12</v>
      </c>
      <c r="E35" s="3">
        <v>1</v>
      </c>
      <c r="F35" s="4"/>
    </row>
    <row r="36" spans="1:6" x14ac:dyDescent="0.25">
      <c r="A36" s="52">
        <v>44028</v>
      </c>
      <c r="B36" s="54" t="s">
        <v>209</v>
      </c>
      <c r="C36" s="3">
        <v>5</v>
      </c>
      <c r="D36" s="3">
        <v>1</v>
      </c>
      <c r="E36" s="3">
        <v>4</v>
      </c>
      <c r="F36" s="4"/>
    </row>
    <row r="37" spans="1:6" x14ac:dyDescent="0.25">
      <c r="A37" s="52">
        <v>44034</v>
      </c>
      <c r="B37" s="54" t="s">
        <v>210</v>
      </c>
      <c r="C37" s="3">
        <v>5</v>
      </c>
      <c r="D37" s="3">
        <v>2</v>
      </c>
      <c r="E37" s="3">
        <v>3</v>
      </c>
      <c r="F37" s="4"/>
    </row>
    <row r="38" spans="1:6" x14ac:dyDescent="0.25">
      <c r="A38" s="52">
        <v>44037</v>
      </c>
      <c r="B38" s="54" t="s">
        <v>206</v>
      </c>
      <c r="C38" s="3">
        <v>6</v>
      </c>
      <c r="D38" s="3">
        <v>4</v>
      </c>
      <c r="E38" s="3">
        <v>2</v>
      </c>
      <c r="F38" s="4"/>
    </row>
    <row r="39" spans="1:6" x14ac:dyDescent="0.25">
      <c r="A39" s="52">
        <v>44042</v>
      </c>
      <c r="B39" s="54" t="s">
        <v>211</v>
      </c>
      <c r="C39" s="3">
        <v>5</v>
      </c>
      <c r="D39" s="3">
        <v>5</v>
      </c>
      <c r="E39" s="3">
        <v>0</v>
      </c>
      <c r="F39" s="4"/>
    </row>
    <row r="40" spans="1:6" x14ac:dyDescent="0.25">
      <c r="A40" s="52"/>
      <c r="B40" s="54"/>
      <c r="C40" s="3"/>
      <c r="D40" s="3"/>
      <c r="E40" s="3"/>
      <c r="F40" s="4"/>
    </row>
    <row r="41" spans="1:6" x14ac:dyDescent="0.25">
      <c r="A41" s="41" t="s">
        <v>248</v>
      </c>
      <c r="B41" s="46"/>
      <c r="C41" s="17">
        <f>SUM(C35:C40)</f>
        <v>34</v>
      </c>
      <c r="D41" s="17">
        <f>SUM(D35:D40)</f>
        <v>24</v>
      </c>
      <c r="E41" s="17">
        <f>SUM(E35:E40)</f>
        <v>10</v>
      </c>
      <c r="F41" s="4"/>
    </row>
    <row r="42" spans="1:6" x14ac:dyDescent="0.25">
      <c r="A42" s="37"/>
      <c r="B42" s="38"/>
      <c r="C42" s="4"/>
      <c r="D42" s="4"/>
      <c r="E42" s="4"/>
      <c r="F42" s="4"/>
    </row>
    <row r="43" spans="1:6" x14ac:dyDescent="0.25">
      <c r="A43" s="35" t="s">
        <v>17</v>
      </c>
      <c r="B43" s="35" t="s">
        <v>5</v>
      </c>
      <c r="C43" s="35" t="s">
        <v>0</v>
      </c>
      <c r="D43" s="35" t="s">
        <v>1</v>
      </c>
      <c r="E43" s="35" t="s">
        <v>2</v>
      </c>
      <c r="F43" s="4"/>
    </row>
    <row r="44" spans="1:6" x14ac:dyDescent="0.25">
      <c r="A44" s="52">
        <v>44061</v>
      </c>
      <c r="B44" s="54" t="s">
        <v>212</v>
      </c>
      <c r="C44" s="4">
        <v>5</v>
      </c>
      <c r="D44" s="4">
        <v>4</v>
      </c>
      <c r="E44" s="4">
        <v>1</v>
      </c>
      <c r="F44" s="4"/>
    </row>
    <row r="45" spans="1:6" x14ac:dyDescent="0.25">
      <c r="A45" s="52">
        <v>44064</v>
      </c>
      <c r="B45" s="54" t="s">
        <v>213</v>
      </c>
      <c r="C45" s="55">
        <v>7</v>
      </c>
      <c r="D45" s="55">
        <v>5</v>
      </c>
      <c r="E45" s="55">
        <v>2</v>
      </c>
      <c r="F45" s="4"/>
    </row>
    <row r="46" spans="1:6" x14ac:dyDescent="0.25">
      <c r="A46" s="52">
        <v>44071</v>
      </c>
      <c r="B46" s="54" t="s">
        <v>214</v>
      </c>
      <c r="C46" s="55">
        <v>5</v>
      </c>
      <c r="D46" s="55">
        <v>4</v>
      </c>
      <c r="E46" s="55">
        <v>1</v>
      </c>
      <c r="F46" s="4"/>
    </row>
    <row r="47" spans="1:6" x14ac:dyDescent="0.25">
      <c r="A47" s="52"/>
      <c r="B47" s="54"/>
      <c r="C47" s="55"/>
      <c r="D47" s="55"/>
      <c r="E47" s="55"/>
      <c r="F47" s="4"/>
    </row>
    <row r="48" spans="1:6" x14ac:dyDescent="0.25">
      <c r="A48" s="7" t="s">
        <v>128</v>
      </c>
      <c r="B48" s="8"/>
      <c r="C48" s="56">
        <f>SUM(C44:C47)</f>
        <v>17</v>
      </c>
      <c r="D48" s="56">
        <f>SUM(D44:D47)</f>
        <v>13</v>
      </c>
      <c r="E48" s="56">
        <f>SUM(E44:E47)</f>
        <v>4</v>
      </c>
      <c r="F48" s="4"/>
    </row>
    <row r="49" spans="1:6" x14ac:dyDescent="0.25">
      <c r="A49" s="1"/>
      <c r="B49" s="2"/>
      <c r="C49" s="55"/>
      <c r="D49" s="55"/>
      <c r="E49" s="55"/>
      <c r="F49" s="4"/>
    </row>
    <row r="50" spans="1:6" x14ac:dyDescent="0.25">
      <c r="A50" s="35" t="s">
        <v>18</v>
      </c>
      <c r="B50" s="35" t="s">
        <v>5</v>
      </c>
      <c r="C50" s="39" t="s">
        <v>0</v>
      </c>
      <c r="D50" s="39" t="s">
        <v>1</v>
      </c>
      <c r="E50" s="39" t="s">
        <v>2</v>
      </c>
      <c r="F50" s="4"/>
    </row>
    <row r="51" spans="1:6" x14ac:dyDescent="0.25">
      <c r="A51" s="52">
        <v>44081</v>
      </c>
      <c r="B51" s="54" t="s">
        <v>202</v>
      </c>
      <c r="C51" s="57">
        <v>4</v>
      </c>
      <c r="D51" s="57">
        <v>2</v>
      </c>
      <c r="E51" s="57">
        <v>2</v>
      </c>
      <c r="F51" s="4"/>
    </row>
    <row r="52" spans="1:6" x14ac:dyDescent="0.25">
      <c r="A52" s="52">
        <v>44100</v>
      </c>
      <c r="B52" s="54" t="s">
        <v>215</v>
      </c>
      <c r="C52" s="29">
        <v>1</v>
      </c>
      <c r="D52" s="29">
        <v>1</v>
      </c>
      <c r="E52" s="29">
        <v>0</v>
      </c>
      <c r="F52" s="4"/>
    </row>
    <row r="53" spans="1:6" x14ac:dyDescent="0.25">
      <c r="A53" s="52">
        <v>44104</v>
      </c>
      <c r="B53" s="54" t="s">
        <v>216</v>
      </c>
      <c r="C53" s="29">
        <v>2</v>
      </c>
      <c r="D53" s="29">
        <v>1</v>
      </c>
      <c r="E53" s="29">
        <v>1</v>
      </c>
      <c r="F53" s="4"/>
    </row>
    <row r="54" spans="1:6" x14ac:dyDescent="0.25">
      <c r="A54" s="52"/>
      <c r="B54" s="54"/>
      <c r="C54" s="29"/>
      <c r="D54" s="29"/>
      <c r="E54" s="29"/>
      <c r="F54" s="4"/>
    </row>
    <row r="55" spans="1:6" x14ac:dyDescent="0.25">
      <c r="A55" s="7" t="s">
        <v>128</v>
      </c>
      <c r="B55" s="8"/>
      <c r="C55" s="17">
        <f>SUM(C51:C54)</f>
        <v>7</v>
      </c>
      <c r="D55" s="17">
        <f>SUM(D51:D54)</f>
        <v>4</v>
      </c>
      <c r="E55" s="17">
        <f>SUM(E51:E54)</f>
        <v>3</v>
      </c>
      <c r="F55" s="4"/>
    </row>
    <row r="56" spans="1:6" x14ac:dyDescent="0.25">
      <c r="A56" s="1"/>
      <c r="B56" s="2"/>
      <c r="C56" s="4"/>
      <c r="D56" s="4"/>
      <c r="E56" s="4"/>
      <c r="F56" s="4"/>
    </row>
    <row r="57" spans="1:6" x14ac:dyDescent="0.25">
      <c r="A57" s="4"/>
      <c r="B57" s="65" t="s">
        <v>219</v>
      </c>
      <c r="C57" s="65">
        <f>SUM(C55,C48,C41,C32,C20,C6)</f>
        <v>110</v>
      </c>
      <c r="F57" s="4"/>
    </row>
    <row r="58" spans="1:6" x14ac:dyDescent="0.25">
      <c r="A58" s="4"/>
      <c r="F58" s="4"/>
    </row>
    <row r="59" spans="1:6" x14ac:dyDescent="0.25">
      <c r="A59" s="4"/>
    </row>
    <row r="60" spans="1:6" x14ac:dyDescent="0.25">
      <c r="A60" s="4"/>
    </row>
    <row r="61" spans="1:6" x14ac:dyDescent="0.25">
      <c r="A61" s="4"/>
    </row>
    <row r="62" spans="1:6" x14ac:dyDescent="0.25">
      <c r="A62" s="4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5" workbookViewId="0">
      <selection activeCell="F43" sqref="F43"/>
    </sheetView>
  </sheetViews>
  <sheetFormatPr defaultRowHeight="15" x14ac:dyDescent="0.25"/>
  <cols>
    <col min="1" max="1" width="18.42578125" style="4" customWidth="1"/>
    <col min="2" max="2" width="14.42578125" style="4" customWidth="1"/>
    <col min="3" max="3" width="10.85546875" style="4" customWidth="1"/>
    <col min="4" max="4" width="13.140625" style="4" customWidth="1"/>
    <col min="5" max="5" width="19.85546875" style="4" customWidth="1"/>
    <col min="6" max="6" width="9.140625" style="4"/>
    <col min="7" max="7" width="18.42578125" style="4" customWidth="1"/>
    <col min="8" max="8" width="14.42578125" style="4" customWidth="1"/>
    <col min="9" max="9" width="10.85546875" style="4" customWidth="1"/>
    <col min="10" max="10" width="13.140625" style="4" customWidth="1"/>
    <col min="11" max="11" width="19.85546875" style="4" customWidth="1"/>
    <col min="12" max="16384" width="9.140625" style="4"/>
  </cols>
  <sheetData>
    <row r="1" spans="1:7" x14ac:dyDescent="0.25">
      <c r="A1" s="12" t="s">
        <v>220</v>
      </c>
      <c r="B1" s="71"/>
      <c r="C1" s="71"/>
      <c r="D1" s="71"/>
      <c r="E1" s="71"/>
    </row>
    <row r="2" spans="1:7" x14ac:dyDescent="0.25">
      <c r="A2" s="37"/>
      <c r="B2" s="38"/>
    </row>
    <row r="3" spans="1:7" x14ac:dyDescent="0.25">
      <c r="A3" s="39" t="s">
        <v>27</v>
      </c>
      <c r="B3" s="39" t="s">
        <v>5</v>
      </c>
      <c r="C3" s="35" t="s">
        <v>0</v>
      </c>
      <c r="D3" s="35" t="s">
        <v>1</v>
      </c>
      <c r="E3" s="35" t="s">
        <v>2</v>
      </c>
      <c r="F3" s="73" t="s">
        <v>242</v>
      </c>
      <c r="G3" s="73" t="s">
        <v>243</v>
      </c>
    </row>
    <row r="4" spans="1:7" x14ac:dyDescent="0.25">
      <c r="A4" s="52">
        <v>44303</v>
      </c>
      <c r="B4" s="53" t="s">
        <v>236</v>
      </c>
      <c r="C4" s="3">
        <v>4</v>
      </c>
      <c r="D4" s="3">
        <v>3</v>
      </c>
      <c r="E4" s="3">
        <v>1</v>
      </c>
      <c r="F4" s="73">
        <v>2</v>
      </c>
      <c r="G4" s="73">
        <v>30</v>
      </c>
    </row>
    <row r="5" spans="1:7" x14ac:dyDescent="0.25">
      <c r="A5" s="52">
        <v>44313</v>
      </c>
      <c r="B5" s="53" t="s">
        <v>221</v>
      </c>
      <c r="C5" s="3">
        <v>4</v>
      </c>
      <c r="D5" s="3">
        <v>3</v>
      </c>
      <c r="E5" s="3">
        <v>1</v>
      </c>
      <c r="F5" s="73">
        <v>1</v>
      </c>
      <c r="G5" s="73">
        <v>2</v>
      </c>
    </row>
    <row r="6" spans="1:7" x14ac:dyDescent="0.25">
      <c r="A6" s="41" t="s">
        <v>39</v>
      </c>
      <c r="B6" s="42"/>
      <c r="C6" s="17">
        <f>SUM(C4:C5)</f>
        <v>8</v>
      </c>
      <c r="D6" s="17">
        <f>SUM(D4:D5)</f>
        <v>6</v>
      </c>
      <c r="E6" s="17">
        <f>SUM(E4:E5)</f>
        <v>2</v>
      </c>
      <c r="F6" s="73"/>
      <c r="G6" s="73"/>
    </row>
    <row r="7" spans="1:7" x14ac:dyDescent="0.25">
      <c r="A7" s="51"/>
      <c r="B7" s="51"/>
      <c r="C7" s="28"/>
      <c r="D7" s="28"/>
      <c r="E7" s="28"/>
      <c r="F7" s="73"/>
      <c r="G7" s="73"/>
    </row>
    <row r="8" spans="1:7" x14ac:dyDescent="0.25">
      <c r="A8" s="39" t="s">
        <v>15</v>
      </c>
      <c r="B8" s="39" t="s">
        <v>5</v>
      </c>
      <c r="C8" s="35" t="s">
        <v>0</v>
      </c>
      <c r="D8" s="35" t="s">
        <v>1</v>
      </c>
      <c r="E8" s="35" t="s">
        <v>2</v>
      </c>
      <c r="F8" s="73"/>
      <c r="G8" s="73"/>
    </row>
    <row r="9" spans="1:7" x14ac:dyDescent="0.25">
      <c r="A9" s="52">
        <v>44320</v>
      </c>
      <c r="B9" s="54" t="s">
        <v>222</v>
      </c>
      <c r="C9" s="29">
        <v>4</v>
      </c>
      <c r="D9" s="29">
        <v>2</v>
      </c>
      <c r="E9" s="29">
        <v>2</v>
      </c>
      <c r="F9" s="73">
        <v>1</v>
      </c>
      <c r="G9" s="73">
        <v>10</v>
      </c>
    </row>
    <row r="10" spans="1:7" x14ac:dyDescent="0.25">
      <c r="A10" s="52">
        <v>44324</v>
      </c>
      <c r="B10" s="54" t="s">
        <v>228</v>
      </c>
      <c r="C10" s="29">
        <v>1</v>
      </c>
      <c r="D10" s="29">
        <v>1</v>
      </c>
      <c r="E10" s="29">
        <v>0</v>
      </c>
      <c r="F10" s="73">
        <v>1</v>
      </c>
      <c r="G10" s="73">
        <v>37</v>
      </c>
    </row>
    <row r="11" spans="1:7" x14ac:dyDescent="0.25">
      <c r="A11" s="52">
        <v>44330</v>
      </c>
      <c r="B11" s="54" t="s">
        <v>229</v>
      </c>
      <c r="C11" s="3">
        <v>3</v>
      </c>
      <c r="D11" s="3">
        <v>3</v>
      </c>
      <c r="E11" s="3">
        <v>0</v>
      </c>
      <c r="F11" s="73">
        <v>2</v>
      </c>
      <c r="G11" s="73">
        <v>5</v>
      </c>
    </row>
    <row r="12" spans="1:7" x14ac:dyDescent="0.25">
      <c r="A12" s="52">
        <v>44331</v>
      </c>
      <c r="B12" s="54" t="s">
        <v>230</v>
      </c>
      <c r="C12" s="3">
        <v>7</v>
      </c>
      <c r="D12" s="3">
        <v>4</v>
      </c>
      <c r="E12" s="3">
        <v>3</v>
      </c>
      <c r="F12" s="73">
        <v>2</v>
      </c>
      <c r="G12" s="73"/>
    </row>
    <row r="13" spans="1:7" x14ac:dyDescent="0.25">
      <c r="A13" s="52">
        <v>44333</v>
      </c>
      <c r="B13" s="4" t="s">
        <v>237</v>
      </c>
      <c r="C13" s="3">
        <v>2</v>
      </c>
      <c r="D13" s="3">
        <v>1</v>
      </c>
      <c r="E13" s="3">
        <v>1</v>
      </c>
      <c r="F13" s="73">
        <v>3</v>
      </c>
      <c r="G13" s="73">
        <v>5</v>
      </c>
    </row>
    <row r="14" spans="1:7" x14ac:dyDescent="0.25">
      <c r="A14" s="52">
        <v>44339</v>
      </c>
      <c r="B14" s="4" t="s">
        <v>231</v>
      </c>
      <c r="C14" s="3">
        <v>3</v>
      </c>
      <c r="D14" s="3">
        <v>3</v>
      </c>
      <c r="E14" s="3">
        <v>0</v>
      </c>
      <c r="F14" s="73">
        <v>2</v>
      </c>
      <c r="G14" s="73">
        <v>10</v>
      </c>
    </row>
    <row r="15" spans="1:7" x14ac:dyDescent="0.25">
      <c r="A15" s="52">
        <v>44341</v>
      </c>
      <c r="B15" s="4" t="s">
        <v>239</v>
      </c>
      <c r="C15" s="4">
        <v>0</v>
      </c>
      <c r="D15" s="4">
        <v>0</v>
      </c>
      <c r="E15" s="4">
        <v>0</v>
      </c>
      <c r="F15" s="73">
        <v>2</v>
      </c>
      <c r="G15" s="73">
        <v>15</v>
      </c>
    </row>
    <row r="16" spans="1:7" x14ac:dyDescent="0.25">
      <c r="A16" s="52">
        <v>44345</v>
      </c>
      <c r="B16" s="54" t="s">
        <v>232</v>
      </c>
      <c r="C16" s="3">
        <v>0</v>
      </c>
      <c r="D16" s="3">
        <v>0</v>
      </c>
      <c r="E16" s="3">
        <v>0</v>
      </c>
      <c r="F16" s="73">
        <v>1</v>
      </c>
      <c r="G16" s="73">
        <v>30</v>
      </c>
    </row>
    <row r="17" spans="1:7" x14ac:dyDescent="0.25">
      <c r="A17" s="41" t="s">
        <v>59</v>
      </c>
      <c r="B17" s="42"/>
      <c r="C17" s="17">
        <f>SUM(C9:C16)</f>
        <v>20</v>
      </c>
      <c r="D17" s="17">
        <f>SUM(D9:D16)</f>
        <v>14</v>
      </c>
      <c r="E17" s="17">
        <f>SUM(E9:E16)</f>
        <v>6</v>
      </c>
      <c r="F17" s="73"/>
      <c r="G17" s="73"/>
    </row>
    <row r="18" spans="1:7" x14ac:dyDescent="0.25">
      <c r="A18" s="43"/>
      <c r="B18" s="38"/>
      <c r="C18" s="28"/>
      <c r="D18" s="28"/>
      <c r="E18" s="28"/>
      <c r="F18" s="73"/>
      <c r="G18" s="73"/>
    </row>
    <row r="19" spans="1:7" x14ac:dyDescent="0.25">
      <c r="A19" s="39" t="s">
        <v>14</v>
      </c>
      <c r="B19" s="39" t="s">
        <v>5</v>
      </c>
      <c r="C19" s="35" t="s">
        <v>0</v>
      </c>
      <c r="D19" s="35" t="s">
        <v>1</v>
      </c>
      <c r="E19" s="35" t="s">
        <v>2</v>
      </c>
      <c r="F19" s="73"/>
      <c r="G19" s="73"/>
    </row>
    <row r="20" spans="1:7" x14ac:dyDescent="0.25">
      <c r="A20" s="52">
        <v>44348</v>
      </c>
      <c r="B20" s="4" t="s">
        <v>223</v>
      </c>
      <c r="C20" s="4">
        <v>0</v>
      </c>
      <c r="D20" s="4">
        <v>0</v>
      </c>
      <c r="E20" s="70">
        <v>0</v>
      </c>
      <c r="F20" s="73">
        <v>1</v>
      </c>
      <c r="G20" s="73">
        <v>41</v>
      </c>
    </row>
    <row r="21" spans="1:7" x14ac:dyDescent="0.25">
      <c r="A21" s="52">
        <v>44350</v>
      </c>
      <c r="B21" s="4" t="s">
        <v>244</v>
      </c>
      <c r="C21" s="4">
        <v>2</v>
      </c>
      <c r="D21" s="4">
        <v>0</v>
      </c>
      <c r="E21" s="4">
        <v>2</v>
      </c>
      <c r="F21" s="73">
        <v>2</v>
      </c>
      <c r="G21" s="73">
        <v>35</v>
      </c>
    </row>
    <row r="22" spans="1:7" x14ac:dyDescent="0.25">
      <c r="A22" s="52">
        <v>44352</v>
      </c>
      <c r="B22" s="54" t="s">
        <v>233</v>
      </c>
      <c r="C22" s="29">
        <v>4</v>
      </c>
      <c r="D22" s="29">
        <v>4</v>
      </c>
      <c r="E22" s="29">
        <v>0</v>
      </c>
      <c r="F22" s="73">
        <v>1</v>
      </c>
      <c r="G22" s="73">
        <v>55</v>
      </c>
    </row>
    <row r="23" spans="1:7" x14ac:dyDescent="0.25">
      <c r="A23" s="52">
        <v>44357</v>
      </c>
      <c r="B23" s="54" t="s">
        <v>224</v>
      </c>
      <c r="C23" s="29">
        <v>1</v>
      </c>
      <c r="D23" s="29">
        <v>1</v>
      </c>
      <c r="E23" s="29">
        <v>0</v>
      </c>
      <c r="F23" s="73">
        <v>1</v>
      </c>
      <c r="G23" s="73"/>
    </row>
    <row r="24" spans="1:7" x14ac:dyDescent="0.25">
      <c r="A24" s="52">
        <v>44358</v>
      </c>
      <c r="B24" s="54" t="s">
        <v>240</v>
      </c>
      <c r="C24" s="29">
        <v>4</v>
      </c>
      <c r="D24" s="29">
        <v>4</v>
      </c>
      <c r="E24" s="29">
        <v>0</v>
      </c>
      <c r="F24" s="73">
        <v>1</v>
      </c>
      <c r="G24" s="73">
        <v>48</v>
      </c>
    </row>
    <row r="25" spans="1:7" x14ac:dyDescent="0.25">
      <c r="A25" s="52">
        <v>44363</v>
      </c>
      <c r="B25" s="54" t="s">
        <v>225</v>
      </c>
      <c r="C25" s="29">
        <v>3</v>
      </c>
      <c r="D25" s="29">
        <v>3</v>
      </c>
      <c r="E25" s="29">
        <v>0</v>
      </c>
      <c r="F25" s="73">
        <v>1</v>
      </c>
      <c r="G25" s="73">
        <v>1</v>
      </c>
    </row>
    <row r="26" spans="1:7" x14ac:dyDescent="0.25">
      <c r="A26" s="52">
        <v>44370</v>
      </c>
      <c r="B26" s="54" t="s">
        <v>226</v>
      </c>
      <c r="C26" s="29">
        <v>4</v>
      </c>
      <c r="D26" s="29">
        <v>3</v>
      </c>
      <c r="E26" s="29">
        <v>1</v>
      </c>
      <c r="F26" s="73">
        <v>1</v>
      </c>
      <c r="G26" s="73">
        <v>14</v>
      </c>
    </row>
    <row r="27" spans="1:7" x14ac:dyDescent="0.25">
      <c r="A27" s="52">
        <v>44377</v>
      </c>
      <c r="B27" s="54" t="s">
        <v>235</v>
      </c>
      <c r="C27" s="29">
        <v>10</v>
      </c>
      <c r="D27" s="29">
        <v>10</v>
      </c>
      <c r="E27" s="29">
        <v>0</v>
      </c>
      <c r="F27" s="73">
        <v>1</v>
      </c>
      <c r="G27" s="73">
        <v>25</v>
      </c>
    </row>
    <row r="28" spans="1:7" x14ac:dyDescent="0.25">
      <c r="A28" s="52"/>
      <c r="B28" s="54"/>
      <c r="C28" s="3"/>
      <c r="D28" s="3"/>
      <c r="E28" s="3"/>
      <c r="F28" s="73"/>
      <c r="G28" s="73"/>
    </row>
    <row r="29" spans="1:7" x14ac:dyDescent="0.25">
      <c r="A29" s="41" t="s">
        <v>60</v>
      </c>
      <c r="B29" s="46"/>
      <c r="C29" s="17">
        <f>SUM(C20:C28)</f>
        <v>28</v>
      </c>
      <c r="D29" s="17">
        <f>SUM(D20:D28)</f>
        <v>25</v>
      </c>
      <c r="E29" s="17">
        <f>SUM(E20:E28)</f>
        <v>3</v>
      </c>
      <c r="F29" s="73"/>
      <c r="G29" s="73"/>
    </row>
    <row r="30" spans="1:7" x14ac:dyDescent="0.25">
      <c r="A30" s="37"/>
      <c r="B30" s="47"/>
      <c r="C30" s="34"/>
      <c r="D30" s="34"/>
      <c r="E30" s="34"/>
      <c r="F30" s="73"/>
      <c r="G30" s="73"/>
    </row>
    <row r="31" spans="1:7" x14ac:dyDescent="0.25">
      <c r="A31" s="39" t="s">
        <v>16</v>
      </c>
      <c r="B31" s="39" t="s">
        <v>5</v>
      </c>
      <c r="C31" s="35" t="s">
        <v>0</v>
      </c>
      <c r="D31" s="35" t="s">
        <v>1</v>
      </c>
      <c r="E31" s="35" t="s">
        <v>2</v>
      </c>
      <c r="F31" s="73"/>
      <c r="G31" s="73"/>
    </row>
    <row r="32" spans="1:7" x14ac:dyDescent="0.25">
      <c r="A32" s="52">
        <v>44388</v>
      </c>
      <c r="B32" s="54" t="s">
        <v>227</v>
      </c>
      <c r="C32" s="3">
        <v>3</v>
      </c>
      <c r="D32" s="3">
        <v>3</v>
      </c>
      <c r="E32" s="3">
        <v>0</v>
      </c>
      <c r="F32" s="73"/>
      <c r="G32" s="73">
        <v>51</v>
      </c>
    </row>
    <row r="33" spans="1:7" x14ac:dyDescent="0.25">
      <c r="A33" s="52">
        <v>44400</v>
      </c>
      <c r="B33" s="54" t="s">
        <v>234</v>
      </c>
      <c r="C33" s="3">
        <v>4</v>
      </c>
      <c r="D33" s="3">
        <v>2</v>
      </c>
      <c r="E33" s="3">
        <v>2</v>
      </c>
      <c r="F33" s="73"/>
      <c r="G33" s="73">
        <v>45</v>
      </c>
    </row>
    <row r="34" spans="1:7" x14ac:dyDescent="0.25">
      <c r="A34" s="41" t="s">
        <v>25</v>
      </c>
      <c r="B34" s="46"/>
      <c r="C34" s="17">
        <f>SUM(C32:C33)</f>
        <v>7</v>
      </c>
      <c r="D34" s="17">
        <f>SUM(D32:D33)</f>
        <v>5</v>
      </c>
      <c r="E34" s="17">
        <f>SUM(E32:E33)</f>
        <v>2</v>
      </c>
      <c r="F34" s="73"/>
      <c r="G34" s="73"/>
    </row>
    <row r="35" spans="1:7" x14ac:dyDescent="0.25">
      <c r="A35" s="37"/>
      <c r="B35" s="38"/>
      <c r="F35" s="73"/>
      <c r="G35" s="73"/>
    </row>
    <row r="36" spans="1:7" x14ac:dyDescent="0.25">
      <c r="A36" s="35" t="s">
        <v>17</v>
      </c>
      <c r="B36" s="35" t="s">
        <v>5</v>
      </c>
      <c r="C36" s="35" t="s">
        <v>0</v>
      </c>
      <c r="D36" s="35" t="s">
        <v>1</v>
      </c>
      <c r="E36" s="35" t="s">
        <v>2</v>
      </c>
      <c r="F36" s="73"/>
      <c r="G36" s="73"/>
    </row>
    <row r="37" spans="1:7" x14ac:dyDescent="0.25">
      <c r="A37" s="52">
        <v>44415</v>
      </c>
      <c r="B37" s="54" t="s">
        <v>238</v>
      </c>
      <c r="C37" s="4">
        <v>4</v>
      </c>
      <c r="D37" s="4">
        <v>2</v>
      </c>
      <c r="E37" s="4">
        <v>2</v>
      </c>
      <c r="F37" s="74"/>
      <c r="G37" s="74">
        <v>45</v>
      </c>
    </row>
    <row r="38" spans="1:7" x14ac:dyDescent="0.25">
      <c r="A38" s="7" t="s">
        <v>246</v>
      </c>
      <c r="B38" s="8"/>
      <c r="C38" s="56">
        <f>SUM(C37:C37)</f>
        <v>4</v>
      </c>
      <c r="D38" s="56">
        <f>SUM(D37:D37)</f>
        <v>2</v>
      </c>
      <c r="E38" s="56">
        <f>SUM(E37:E37)</f>
        <v>2</v>
      </c>
      <c r="F38" s="73">
        <f>SUM(F4:F37)</f>
        <v>26</v>
      </c>
      <c r="G38" s="73">
        <f>SUM(G4:G37)</f>
        <v>504</v>
      </c>
    </row>
    <row r="39" spans="1:7" x14ac:dyDescent="0.25">
      <c r="A39" s="1"/>
      <c r="B39" s="2"/>
      <c r="C39" s="55"/>
      <c r="D39" s="55"/>
      <c r="E39" s="55"/>
      <c r="F39" s="73"/>
      <c r="G39" s="73"/>
    </row>
    <row r="40" spans="1:7" x14ac:dyDescent="0.25">
      <c r="B40" s="72" t="s">
        <v>241</v>
      </c>
      <c r="C40" s="72">
        <f>SUM(C38,C34,C29,C17,C6)</f>
        <v>67</v>
      </c>
      <c r="F40" s="73"/>
      <c r="G40" s="75" t="s">
        <v>245</v>
      </c>
    </row>
    <row r="41" spans="1:7" x14ac:dyDescent="0.25">
      <c r="F41" s="73"/>
      <c r="G41" s="73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2016</vt:lpstr>
      <vt:lpstr>2017</vt:lpstr>
      <vt:lpstr>2018</vt:lpstr>
      <vt:lpstr>2019</vt:lpstr>
      <vt:lpstr>2020</vt:lpstr>
      <vt:lpstr>2021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2022-01-17T04:45:25Z</dcterms:created>
  <dcterms:modified xsi:type="dcterms:W3CDTF">2022-02-18T03:37:22Z</dcterms:modified>
</cp:coreProperties>
</file>